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amp\www\BookSmart\external-resources\"/>
    </mc:Choice>
  </mc:AlternateContent>
  <bookViews>
    <workbookView xWindow="0" yWindow="0" windowWidth="17685" windowHeight="9810"/>
  </bookViews>
  <sheets>
    <sheet name="Winter Quarter Schedule - v 17.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N3" i="1" l="1"/>
  <c r="N11" i="1"/>
  <c r="N4" i="1"/>
  <c r="N12" i="1"/>
  <c r="N20" i="1"/>
  <c r="N28" i="1"/>
  <c r="N36" i="1"/>
  <c r="N44" i="1"/>
  <c r="N52" i="1"/>
  <c r="N60" i="1"/>
  <c r="N68" i="1"/>
  <c r="N76" i="1"/>
  <c r="N84" i="1"/>
  <c r="N29" i="1"/>
  <c r="N53" i="1"/>
  <c r="N69" i="1"/>
  <c r="N85" i="1"/>
  <c r="N14" i="1"/>
  <c r="N30" i="1"/>
  <c r="N46" i="1"/>
  <c r="N62" i="1"/>
  <c r="N78" i="1"/>
  <c r="N7" i="1"/>
  <c r="N23" i="1"/>
  <c r="N39" i="1"/>
  <c r="N55" i="1"/>
  <c r="N71" i="1"/>
  <c r="N87" i="1"/>
  <c r="N16" i="1"/>
  <c r="N32" i="1"/>
  <c r="N48" i="1"/>
  <c r="N64" i="1"/>
  <c r="N80" i="1"/>
  <c r="N17" i="1"/>
  <c r="N33" i="1"/>
  <c r="N49" i="1"/>
  <c r="N65" i="1"/>
  <c r="N81" i="1"/>
  <c r="N18" i="1"/>
  <c r="N34" i="1"/>
  <c r="N50" i="1"/>
  <c r="N66" i="1"/>
  <c r="N82" i="1"/>
  <c r="N27" i="1"/>
  <c r="N43" i="1"/>
  <c r="N59" i="1"/>
  <c r="N83" i="1"/>
  <c r="N5" i="1"/>
  <c r="N13" i="1"/>
  <c r="N21" i="1"/>
  <c r="N37" i="1"/>
  <c r="N45" i="1"/>
  <c r="N61" i="1"/>
  <c r="N77" i="1"/>
  <c r="N6" i="1"/>
  <c r="N22" i="1"/>
  <c r="N38" i="1"/>
  <c r="N54" i="1"/>
  <c r="N70" i="1"/>
  <c r="N86" i="1"/>
  <c r="N15" i="1"/>
  <c r="N31" i="1"/>
  <c r="N47" i="1"/>
  <c r="N63" i="1"/>
  <c r="N79" i="1"/>
  <c r="N8" i="1"/>
  <c r="N24" i="1"/>
  <c r="N40" i="1"/>
  <c r="N56" i="1"/>
  <c r="N72" i="1"/>
  <c r="N9" i="1"/>
  <c r="N25" i="1"/>
  <c r="N41" i="1"/>
  <c r="N57" i="1"/>
  <c r="N73" i="1"/>
  <c r="N10" i="1"/>
  <c r="N26" i="1"/>
  <c r="N42" i="1"/>
  <c r="N58" i="1"/>
  <c r="N74" i="1"/>
  <c r="N19" i="1"/>
  <c r="N35" i="1"/>
  <c r="N51" i="1"/>
  <c r="N67" i="1"/>
  <c r="N75" i="1"/>
  <c r="N2" i="1"/>
</calcChain>
</file>

<file path=xl/sharedStrings.xml><?xml version="1.0" encoding="utf-8"?>
<sst xmlns="http://schemas.openxmlformats.org/spreadsheetml/2006/main" count="661" uniqueCount="259">
  <si>
    <t>Code</t>
  </si>
  <si>
    <t>Section</t>
  </si>
  <si>
    <t>Course</t>
  </si>
  <si>
    <t>Credits</t>
  </si>
  <si>
    <t>Days</t>
  </si>
  <si>
    <t>Instructor</t>
  </si>
  <si>
    <t>CSC230</t>
  </si>
  <si>
    <t>Computational Theory</t>
  </si>
  <si>
    <t>MTWHF</t>
  </si>
  <si>
    <t>Steve Halladay</t>
  </si>
  <si>
    <t>MAT305</t>
  </si>
  <si>
    <t>Problem Solving</t>
  </si>
  <si>
    <t>John Kane</t>
  </si>
  <si>
    <t>BIT430</t>
  </si>
  <si>
    <t>Decision Support Systems</t>
  </si>
  <si>
    <t>Ron Price</t>
  </si>
  <si>
    <t>CSC250</t>
  </si>
  <si>
    <t>Algorithms &amp; Data Structures I</t>
  </si>
  <si>
    <t>Joshua Krebs</t>
  </si>
  <si>
    <t>FAC299</t>
  </si>
  <si>
    <t>Marketing Your Personal Brand</t>
  </si>
  <si>
    <t>Jayson Beagley</t>
  </si>
  <si>
    <t>MGT301</t>
  </si>
  <si>
    <t>Project Management</t>
  </si>
  <si>
    <t>Jerry Pay</t>
  </si>
  <si>
    <t>MTM320</t>
  </si>
  <si>
    <t>Advanced Web Scripting</t>
  </si>
  <si>
    <t>Tom Beatty</t>
  </si>
  <si>
    <t>SSC310</t>
  </si>
  <si>
    <t>A</t>
  </si>
  <si>
    <t>American Legal System</t>
  </si>
  <si>
    <t>TWHF</t>
  </si>
  <si>
    <t>Mark Herrera</t>
  </si>
  <si>
    <t>BUS445</t>
  </si>
  <si>
    <t>International Business Practices</t>
  </si>
  <si>
    <t>Douglas Bingham</t>
  </si>
  <si>
    <t>ENG311</t>
  </si>
  <si>
    <t>Principles of Creative Writing</t>
  </si>
  <si>
    <t>Brandon Berrett</t>
  </si>
  <si>
    <t>FAC101</t>
  </si>
  <si>
    <t>Art Appreciation</t>
  </si>
  <si>
    <t>Timothy Parker</t>
  </si>
  <si>
    <t>Patrick  Brown</t>
  </si>
  <si>
    <t>HUM150</t>
  </si>
  <si>
    <t>Logic</t>
  </si>
  <si>
    <t>ITH215</t>
  </si>
  <si>
    <t>Networking I</t>
  </si>
  <si>
    <t>MTW</t>
  </si>
  <si>
    <t>Ben Fletcher</t>
  </si>
  <si>
    <t>SSC320</t>
  </si>
  <si>
    <t>Group Dynamics</t>
  </si>
  <si>
    <t>Russ Rampton</t>
  </si>
  <si>
    <t>CSC150</t>
  </si>
  <si>
    <t>B</t>
  </si>
  <si>
    <t>Object Oriented Programming and Design</t>
  </si>
  <si>
    <t>Matt Warner</t>
  </si>
  <si>
    <t>C</t>
  </si>
  <si>
    <t>Ryan Cox</t>
  </si>
  <si>
    <t>CSC180</t>
  </si>
  <si>
    <t>Open Source Platforms Development</t>
  </si>
  <si>
    <t>CSC210</t>
  </si>
  <si>
    <t>Introduction to Web Presentation and Development</t>
  </si>
  <si>
    <t>CSC390</t>
  </si>
  <si>
    <t>Operating Systems</t>
  </si>
  <si>
    <t>MTWH</t>
  </si>
  <si>
    <t>FAC120</t>
  </si>
  <si>
    <t>Spoken Communications</t>
  </si>
  <si>
    <t>Jeremiah Harrison</t>
  </si>
  <si>
    <t>ITS320</t>
  </si>
  <si>
    <t>Systems, Network, and Physical Security</t>
  </si>
  <si>
    <t>Kerry Cox</t>
  </si>
  <si>
    <t>PSC230</t>
  </si>
  <si>
    <t>Introduction to Chemistry</t>
  </si>
  <si>
    <t>Eric Kohler</t>
  </si>
  <si>
    <t>CSC280</t>
  </si>
  <si>
    <t>Developing Scalable Web Applications</t>
  </si>
  <si>
    <t>CSC460</t>
  </si>
  <si>
    <t>Industry Trends in Software Development</t>
  </si>
  <si>
    <t>HUM205</t>
  </si>
  <si>
    <t>Ethics</t>
  </si>
  <si>
    <t>BIT220</t>
  </si>
  <si>
    <t>Server Administration I: Windows</t>
  </si>
  <si>
    <t>BIT320</t>
  </si>
  <si>
    <t>Shell and Administrative Scripting</t>
  </si>
  <si>
    <t>CSC110</t>
  </si>
  <si>
    <t>Introduction to Computer Science</t>
  </si>
  <si>
    <t>Robert Lamb</t>
  </si>
  <si>
    <t>D</t>
  </si>
  <si>
    <t>HUM200</t>
  </si>
  <si>
    <t>The Imagination of Horror in Media</t>
  </si>
  <si>
    <t>MGT470</t>
  </si>
  <si>
    <t>Practices in Project Management</t>
  </si>
  <si>
    <t>PRO390</t>
  </si>
  <si>
    <t>Capstone Project</t>
  </si>
  <si>
    <t>PRO485</t>
  </si>
  <si>
    <t>Game Studio I</t>
  </si>
  <si>
    <t>PRO486</t>
  </si>
  <si>
    <t>Game Studio II</t>
  </si>
  <si>
    <t>PRO490</t>
  </si>
  <si>
    <t>Enterprise Projects I</t>
  </si>
  <si>
    <t>PRO491</t>
  </si>
  <si>
    <t>Enterprise Projects II</t>
  </si>
  <si>
    <t>PRO492</t>
  </si>
  <si>
    <t>Enterprise Projects III</t>
  </si>
  <si>
    <t>BIT120</t>
  </si>
  <si>
    <t>Business &amp; Information Systems Practices</t>
  </si>
  <si>
    <t>MTM370</t>
  </si>
  <si>
    <t>Front-End Implementation</t>
  </si>
  <si>
    <t>E</t>
  </si>
  <si>
    <t>MAT260</t>
  </si>
  <si>
    <t>Statistics</t>
  </si>
  <si>
    <t>Andrew Nielsen</t>
  </si>
  <si>
    <t>BIT228</t>
  </si>
  <si>
    <t>Server Administration III: Web</t>
  </si>
  <si>
    <t>ENG110</t>
  </si>
  <si>
    <t>Introduction to English Composition</t>
  </si>
  <si>
    <t>BIT350</t>
  </si>
  <si>
    <t>Virtualization Technology and Administration</t>
  </si>
  <si>
    <t>TH</t>
  </si>
  <si>
    <t>Tyler Baxter</t>
  </si>
  <si>
    <t>GAT180</t>
  </si>
  <si>
    <t>Mobile Game Development</t>
  </si>
  <si>
    <t>Colter Cvach</t>
  </si>
  <si>
    <t>HPE170</t>
  </si>
  <si>
    <t>Healthy Living</t>
  </si>
  <si>
    <t>Phil Park</t>
  </si>
  <si>
    <t>CSC160</t>
  </si>
  <si>
    <t>Application Development</t>
  </si>
  <si>
    <t>MWH</t>
  </si>
  <si>
    <t>Jeff Christensen</t>
  </si>
  <si>
    <t>PRO280</t>
  </si>
  <si>
    <t>Scalable Web Applications Lab</t>
  </si>
  <si>
    <t>PRO301</t>
  </si>
  <si>
    <t>Project Management in Practice</t>
  </si>
  <si>
    <t>MTM410</t>
  </si>
  <si>
    <t>Digital Portfolio</t>
  </si>
  <si>
    <t>PRO470</t>
  </si>
  <si>
    <t>Project Management Project</t>
  </si>
  <si>
    <t>PSC226</t>
  </si>
  <si>
    <t>Introductory Physics</t>
  </si>
  <si>
    <t>BUS355</t>
  </si>
  <si>
    <t>Applied Business Systems &amp; Practices</t>
  </si>
  <si>
    <t>MAT105</t>
  </si>
  <si>
    <t>College Algebra</t>
  </si>
  <si>
    <t>MTM450</t>
  </si>
  <si>
    <t>Web Game Development</t>
  </si>
  <si>
    <t>PRO220</t>
  </si>
  <si>
    <t>Server Administration I Project</t>
  </si>
  <si>
    <t>FAC125</t>
  </si>
  <si>
    <t>Collaborative and Interpersonal Communication</t>
  </si>
  <si>
    <t>MAT125</t>
  </si>
  <si>
    <t>Geometry</t>
  </si>
  <si>
    <t>PRO321</t>
  </si>
  <si>
    <t>Systems, Network &amp; Physical Security Project</t>
  </si>
  <si>
    <t>CSC252</t>
  </si>
  <si>
    <t>Algorithms &amp; Data Structures II</t>
  </si>
  <si>
    <t>ITS390</t>
  </si>
  <si>
    <t>Hacking, Forensics and Countermeasures</t>
  </si>
  <si>
    <t>THF</t>
  </si>
  <si>
    <t>Michael Stahle</t>
  </si>
  <si>
    <t>PRO160</t>
  </si>
  <si>
    <t>Application Development Lab</t>
  </si>
  <si>
    <t>Robert  Warner</t>
  </si>
  <si>
    <t>PRO180</t>
  </si>
  <si>
    <t>Open Source Platforms Development Lab</t>
  </si>
  <si>
    <t>MTWF</t>
  </si>
  <si>
    <t>Jonathan Stringer</t>
  </si>
  <si>
    <t>Start Time</t>
  </si>
  <si>
    <t>ISBN_One_v10</t>
  </si>
  <si>
    <t>ISBN_One_v13</t>
  </si>
  <si>
    <t>ISBN_Two_v10</t>
  </si>
  <si>
    <t>ISBN_Two_v13</t>
  </si>
  <si>
    <t>-</t>
  </si>
  <si>
    <t>ISBN-13:9780073376905</t>
  </si>
  <si>
    <t>ISBN-13:9781118859919</t>
  </si>
  <si>
    <t>ISBN-10:1118388046</t>
  </si>
  <si>
    <t>ISBN-13:9781118388044</t>
  </si>
  <si>
    <t>ISBN-13:9781782162742</t>
  </si>
  <si>
    <t>ISBN-10:1449320686</t>
  </si>
  <si>
    <t>ISBN-13:9781449320683</t>
  </si>
  <si>
    <t>ISBN-10:0789749319</t>
  </si>
  <si>
    <t>ISBN-13:9780789749314</t>
  </si>
  <si>
    <t>ISBN-13:9780133051056</t>
  </si>
  <si>
    <t>ISBN-10:0133370461</t>
  </si>
  <si>
    <t>ISBN-13:9781430242345</t>
  </si>
  <si>
    <t>ISBN-10:0131872486</t>
  </si>
  <si>
    <t>ISBN-13:9780131872486</t>
  </si>
  <si>
    <t>ISBN-13:9781118531648</t>
  </si>
  <si>
    <t>ISBN-10:1118008189</t>
  </si>
  <si>
    <t>ISBN-13:9781118008188</t>
  </si>
  <si>
    <t>ISBN-13:9780991192700</t>
  </si>
  <si>
    <t>ISBN-10:0132316811</t>
  </si>
  <si>
    <t>ISBN-13:9780132316811</t>
  </si>
  <si>
    <t>ISBN-10:0596516681</t>
  </si>
  <si>
    <t>ISBN-13:9780596516680</t>
  </si>
  <si>
    <t>ISBN-10:1430219564</t>
  </si>
  <si>
    <t>ISBN-13:9781430219569</t>
  </si>
  <si>
    <t>ISBN-13:9781118968086</t>
  </si>
  <si>
    <t>ISBN-13:9781587143854</t>
  </si>
  <si>
    <t>ISBN-13:9781939136022</t>
  </si>
  <si>
    <t>ISBN-13:9781512214567</t>
  </si>
  <si>
    <t>ISBN-10:0321758951</t>
  </si>
  <si>
    <t>ISBN-13:9780321758958</t>
  </si>
  <si>
    <t>ISBN-10:0321473310</t>
  </si>
  <si>
    <t>ISBN-13:9780321473318</t>
  </si>
  <si>
    <t>ISBN-10:0077567668</t>
  </si>
  <si>
    <t>ISBN-13:9780077567668</t>
  </si>
  <si>
    <t>ISBN-10:0471135712</t>
  </si>
  <si>
    <t>ISBN-13:9780471135715</t>
  </si>
  <si>
    <t>ISBN-10:1935589679</t>
  </si>
  <si>
    <t>ISBN-13:9781935589679</t>
  </si>
  <si>
    <t>ISBN-10:0596805527</t>
  </si>
  <si>
    <t>ISBN-13:9780596805524</t>
  </si>
  <si>
    <t>ISBN-13:9780321729958</t>
  </si>
  <si>
    <t>Sprint</t>
  </si>
  <si>
    <t>M</t>
  </si>
  <si>
    <t>F</t>
  </si>
  <si>
    <t>End Time</t>
  </si>
  <si>
    <t>SQL_Script</t>
  </si>
  <si>
    <t>7:30:00 AM</t>
  </si>
  <si>
    <t>8:00:00 AM</t>
  </si>
  <si>
    <t>8:50:00 AM</t>
  </si>
  <si>
    <t>9:50:00 AM</t>
  </si>
  <si>
    <t>9:00:00 AM</t>
  </si>
  <si>
    <t>9:20:00 AM</t>
  </si>
  <si>
    <t>9:30:00 AM</t>
  </si>
  <si>
    <t>10:20:00 AM</t>
  </si>
  <si>
    <t>10:30:00 AM</t>
  </si>
  <si>
    <t>10:00:00 AM</t>
  </si>
  <si>
    <t>10:50:00 AM</t>
  </si>
  <si>
    <t>11:50:00 AM</t>
  </si>
  <si>
    <t>11:20:00 AM</t>
  </si>
  <si>
    <t>11:00:00 AM</t>
  </si>
  <si>
    <t>12:00:00 PM</t>
  </si>
  <si>
    <t>1:00:00 PM</t>
  </si>
  <si>
    <t>1:50:00 PM</t>
  </si>
  <si>
    <t>2:20:00 PM</t>
  </si>
  <si>
    <t>2:50:00 PM</t>
  </si>
  <si>
    <t>2:00:00 PM</t>
  </si>
  <si>
    <t>2:30:00 PM</t>
  </si>
  <si>
    <t>3:20:00 PM</t>
  </si>
  <si>
    <t>3:00:00 PM</t>
  </si>
  <si>
    <t>3:50:00 PM</t>
  </si>
  <si>
    <t>3:30:00 PM</t>
  </si>
  <si>
    <t>4:50:00 PM</t>
  </si>
  <si>
    <t>4:20:00 PM</t>
  </si>
  <si>
    <t>4:30:00 PM</t>
  </si>
  <si>
    <t>4:00:00 PM</t>
  </si>
  <si>
    <t>5:00:00 PM</t>
  </si>
  <si>
    <t>5:50:00 PM</t>
  </si>
  <si>
    <t>5:30:00 PM</t>
  </si>
  <si>
    <t>5:20:00 PM</t>
  </si>
  <si>
    <t>6:50:00 PM</t>
  </si>
  <si>
    <t>6:40:00 PM</t>
  </si>
  <si>
    <t>6:00:00 PM</t>
  </si>
  <si>
    <t>7:20:00 PM</t>
  </si>
  <si>
    <t>7:30:00 PM</t>
  </si>
  <si>
    <t>7:50:00 PM</t>
  </si>
  <si>
    <t>7:40:00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</si>
</sst>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\ AM/PM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164" fontId="0" fillId="0" borderId="0" xfId="0" quotePrefix="1" applyNumberFormat="1" applyAlignment="1">
      <alignment horizontal="center"/>
    </xf>
    <xf numFmtId="18" fontId="0" fillId="0" borderId="0" xfId="0" quotePrefix="1" applyNumberForma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7"/>
  <sheetViews>
    <sheetView tabSelected="1" topLeftCell="A57" workbookViewId="0">
      <selection activeCell="A77" sqref="A77"/>
    </sheetView>
  </sheetViews>
  <sheetFormatPr defaultRowHeight="15" x14ac:dyDescent="0.25"/>
  <cols>
    <col min="1" max="1" width="8.42578125" style="1" bestFit="1" customWidth="1"/>
    <col min="2" max="2" width="48.28515625" bestFit="1" customWidth="1"/>
    <col min="3" max="3" width="6.28515625" style="1" bestFit="1" customWidth="1"/>
    <col min="4" max="4" width="7.5703125" style="1" bestFit="1" customWidth="1"/>
    <col min="5" max="5" width="7.28515625" style="1" customWidth="1"/>
    <col min="6" max="7" width="11.5703125" style="1" bestFit="1" customWidth="1"/>
    <col min="8" max="8" width="7.85546875" style="1" bestFit="1" customWidth="1"/>
    <col min="9" max="9" width="17.28515625" style="1" customWidth="1"/>
    <col min="10" max="10" width="18.7109375" bestFit="1" customWidth="1"/>
    <col min="11" max="11" width="21.85546875" customWidth="1"/>
    <col min="12" max="12" width="18.7109375" bestFit="1" customWidth="1"/>
    <col min="13" max="13" width="21.85546875" bestFit="1" customWidth="1"/>
    <col min="14" max="14" width="107.85546875" customWidth="1"/>
  </cols>
  <sheetData>
    <row r="1" spans="1:14" x14ac:dyDescent="0.25">
      <c r="A1" s="1" t="s">
        <v>0</v>
      </c>
      <c r="B1" t="s">
        <v>2</v>
      </c>
      <c r="C1" s="1" t="s">
        <v>214</v>
      </c>
      <c r="D1" s="1" t="s">
        <v>1</v>
      </c>
      <c r="E1" s="1" t="s">
        <v>3</v>
      </c>
      <c r="F1" s="1" t="s">
        <v>167</v>
      </c>
      <c r="G1" s="1" t="s">
        <v>217</v>
      </c>
      <c r="H1" s="1" t="s">
        <v>4</v>
      </c>
      <c r="I1" s="1" t="s">
        <v>5</v>
      </c>
      <c r="J1" t="s">
        <v>168</v>
      </c>
      <c r="K1" t="s">
        <v>169</v>
      </c>
      <c r="L1" t="s">
        <v>170</v>
      </c>
      <c r="M1" t="s">
        <v>171</v>
      </c>
      <c r="N1" t="s">
        <v>218</v>
      </c>
    </row>
    <row r="2" spans="1:14" x14ac:dyDescent="0.25">
      <c r="A2" s="1" t="s">
        <v>6</v>
      </c>
      <c r="B2" t="s">
        <v>7</v>
      </c>
      <c r="C2" s="1">
        <v>1</v>
      </c>
      <c r="D2" s="1" t="s">
        <v>215</v>
      </c>
      <c r="E2" s="1">
        <v>3</v>
      </c>
      <c r="F2" s="2" t="s">
        <v>219</v>
      </c>
      <c r="G2" s="3" t="s">
        <v>221</v>
      </c>
      <c r="H2" s="1" t="s">
        <v>8</v>
      </c>
      <c r="I2" s="1" t="s">
        <v>9</v>
      </c>
      <c r="K2" t="s">
        <v>190</v>
      </c>
      <c r="N2" t="str">
        <f>GenerateCourseDataScript($A2,$B2,$C2,$D2,$E2,$F2,$G2,$H2,$I2,$J2,$K2,$L2,$M2)</f>
        <v>INSERT INTO courses (Course_Code, Course_Desc, Sprint, Section, Credits, Start_Time, End_Time, Days_Taught, Instructor, ISBN_One_v10, ISBN_One_v13, ISBN_Two_v10, ISBN_Two_v13) VALUES ('CSC230', 'Computational Theory', 1, 'M', 3, TIME(STR_TO_DATE('7:30:00 AM','%h:%i:%s %p')), TIME(STR_TO_DATE('8:50:00 AM','%h:%i:%s %p')), 'MTWHF', 'Steve Halladay', '', 'ISBN-13:9780991192700', '', '');</v>
      </c>
    </row>
    <row r="3" spans="1:14" x14ac:dyDescent="0.25">
      <c r="A3" s="1" t="s">
        <v>10</v>
      </c>
      <c r="B3" t="s">
        <v>11</v>
      </c>
      <c r="C3" s="1">
        <v>1</v>
      </c>
      <c r="D3" s="1">
        <v>1</v>
      </c>
      <c r="E3" s="1">
        <v>3</v>
      </c>
      <c r="F3" s="2" t="s">
        <v>219</v>
      </c>
      <c r="G3" s="3" t="s">
        <v>221</v>
      </c>
      <c r="H3" s="1" t="s">
        <v>8</v>
      </c>
      <c r="I3" s="1" t="s">
        <v>12</v>
      </c>
      <c r="J3" t="s">
        <v>207</v>
      </c>
      <c r="K3" t="s">
        <v>208</v>
      </c>
      <c r="N3" t="str">
        <f t="shared" ref="N3:N66" si="0">GenerateCourseDataScript($A3,$B3,$C3,$D3,$E3,$F3,$G3,$H3,$I3,$J3,$K3,$L3,$M3)</f>
        <v>INSERT INTO courses (Course_Code, Course_Desc, Sprint, Section, Credits, Start_Time, End_Time, Days_Taught, Instructor, ISBN_One_v10, ISBN_One_v13, ISBN_Two_v10, ISBN_Two_v13) VALUES ('MAT305', 'Problem Solving', 1, '1', 3, TIME(STR_TO_DATE('7:30:00 AM','%h:%i:%s %p')), TIME(STR_TO_DATE('8:50:00 AM','%h:%i:%s %p')), 'MTWHF', 'John Kane', 'ISBN-10:0471135712', 'ISBN-13:9780471135715', '', '');</v>
      </c>
    </row>
    <row r="4" spans="1:14" x14ac:dyDescent="0.25">
      <c r="A4" s="1" t="s">
        <v>13</v>
      </c>
      <c r="B4" t="s">
        <v>14</v>
      </c>
      <c r="C4" s="1">
        <v>1</v>
      </c>
      <c r="D4" s="1">
        <v>1</v>
      </c>
      <c r="E4" s="1">
        <v>2</v>
      </c>
      <c r="F4" s="2" t="s">
        <v>220</v>
      </c>
      <c r="G4" s="3" t="s">
        <v>221</v>
      </c>
      <c r="H4" s="1" t="s">
        <v>8</v>
      </c>
      <c r="I4" s="1" t="s">
        <v>15</v>
      </c>
      <c r="N4" t="str">
        <f t="shared" si="0"/>
        <v>INSERT INTO courses (Course_Code, Course_Desc, Sprint, Section, Credits, Start_Time, End_Time, Days_Taught, Instructor, ISBN_One_v10, ISBN_One_v13, ISBN_Two_v10, ISBN_Two_v13) VALUES ('BIT430', 'Decision Support Systems', 1, '1', 2, TIME(STR_TO_DATE('8:00:00 AM','%h:%i:%s %p')), TIME(STR_TO_DATE('8:50:00 AM','%h:%i:%s %p')), 'MTWHF', 'Ron Price', '', '', '', '');</v>
      </c>
    </row>
    <row r="5" spans="1:14" x14ac:dyDescent="0.25">
      <c r="A5" s="1" t="s">
        <v>16</v>
      </c>
      <c r="B5" t="s">
        <v>17</v>
      </c>
      <c r="C5" s="1">
        <v>1</v>
      </c>
      <c r="D5" s="1">
        <v>1</v>
      </c>
      <c r="E5" s="1">
        <v>4</v>
      </c>
      <c r="F5" s="2" t="s">
        <v>220</v>
      </c>
      <c r="G5" s="3" t="s">
        <v>222</v>
      </c>
      <c r="H5" s="1" t="s">
        <v>8</v>
      </c>
      <c r="I5" s="1" t="s">
        <v>18</v>
      </c>
      <c r="J5" t="s">
        <v>191</v>
      </c>
      <c r="K5" t="s">
        <v>192</v>
      </c>
      <c r="N5" t="str">
        <f t="shared" si="0"/>
        <v>INSERT INTO courses (Course_Code, Course_Desc, Sprint, Section, Credits, Start_Time, End_Time, Days_Taught, Instructor, ISBN_One_v10, ISBN_One_v13, ISBN_Two_v10, ISBN_Two_v13) VALUES ('CSC250', 'Algorithms &amp; Data Structures I', 1, '1', 4, TIME(STR_TO_DATE('8:00:00 AM','%h:%i:%s %p')), TIME(STR_TO_DATE('9:50:00 AM','%h:%i:%s %p')), 'MTWHF', 'Joshua Krebs', 'ISBN-10:0132316811', 'ISBN-13:9780132316811', '', '');</v>
      </c>
    </row>
    <row r="6" spans="1:14" x14ac:dyDescent="0.25">
      <c r="A6" s="1" t="s">
        <v>19</v>
      </c>
      <c r="B6" t="s">
        <v>20</v>
      </c>
      <c r="C6" s="1">
        <v>1</v>
      </c>
      <c r="D6" s="1" t="s">
        <v>53</v>
      </c>
      <c r="E6" s="1">
        <v>2</v>
      </c>
      <c r="F6" s="2" t="s">
        <v>220</v>
      </c>
      <c r="G6" s="3" t="s">
        <v>221</v>
      </c>
      <c r="H6" s="1" t="s">
        <v>8</v>
      </c>
      <c r="I6" s="1" t="s">
        <v>21</v>
      </c>
      <c r="K6" t="s">
        <v>197</v>
      </c>
      <c r="N6" t="str">
        <f t="shared" si="0"/>
        <v>INSERT INTO courses (Course_Code, Course_Desc, Sprint, Section, Credits, Start_Time, End_Time, Days_Taught, Instructor, ISBN_One_v10, ISBN_One_v13, ISBN_Two_v10, ISBN_Two_v13) VALUES ('FAC299', 'Marketing Your Personal Brand', 1, 'B', 2, TIME(STR_TO_DATE('8:00:00 AM','%h:%i:%s %p')), TIME(STR_TO_DATE('8:50:00 AM','%h:%i:%s %p')), 'MTWHF', 'Jayson Beagley', '', 'ISBN-13:9781118968086', '', '');</v>
      </c>
    </row>
    <row r="7" spans="1:14" x14ac:dyDescent="0.25">
      <c r="A7" s="1" t="s">
        <v>22</v>
      </c>
      <c r="B7" t="s">
        <v>23</v>
      </c>
      <c r="C7" s="1">
        <v>1</v>
      </c>
      <c r="D7" s="1">
        <v>1</v>
      </c>
      <c r="E7" s="1">
        <v>4</v>
      </c>
      <c r="F7" s="2" t="s">
        <v>220</v>
      </c>
      <c r="G7" s="3" t="s">
        <v>222</v>
      </c>
      <c r="H7" s="1" t="s">
        <v>8</v>
      </c>
      <c r="I7" s="1" t="s">
        <v>24</v>
      </c>
      <c r="N7" t="str">
        <f t="shared" si="0"/>
        <v>INSERT INTO courses (Course_Code, Course_Desc, Sprint, Section, Credits, Start_Time, End_Time, Days_Taught, Instructor, ISBN_One_v10, ISBN_One_v13, ISBN_Two_v10, ISBN_Two_v13) VALUES ('MGT301', 'Project Management', 1, '1', 4, TIME(STR_TO_DATE('8:00:00 AM','%h:%i:%s %p')), TIME(STR_TO_DATE('9:50:00 AM','%h:%i:%s %p')), 'MTWHF', 'Jerry Pay', '', '', '', '');</v>
      </c>
    </row>
    <row r="8" spans="1:14" x14ac:dyDescent="0.25">
      <c r="A8" s="1" t="s">
        <v>25</v>
      </c>
      <c r="B8" t="s">
        <v>26</v>
      </c>
      <c r="C8" s="1">
        <v>0</v>
      </c>
      <c r="D8" s="1" t="s">
        <v>172</v>
      </c>
      <c r="E8" s="1">
        <v>4</v>
      </c>
      <c r="F8" s="2" t="s">
        <v>220</v>
      </c>
      <c r="G8" s="3" t="s">
        <v>221</v>
      </c>
      <c r="H8" s="1" t="s">
        <v>8</v>
      </c>
      <c r="I8" s="1" t="s">
        <v>27</v>
      </c>
      <c r="J8" t="s">
        <v>211</v>
      </c>
      <c r="K8" t="s">
        <v>212</v>
      </c>
      <c r="N8" t="str">
        <f t="shared" si="0"/>
        <v>INSERT INTO courses (Course_Code, Course_Desc, Sprint, Section, Credits, Start_Time, End_Time, Days_Taught, Instructor, ISBN_One_v10, ISBN_One_v13, ISBN_Two_v10, ISBN_Two_v13) VALUES ('MTM320', 'Advanced Web Scripting', 0, '-', 4, TIME(STR_TO_DATE('8:00:00 AM','%h:%i:%s %p')), TIME(STR_TO_DATE('8:50:00 AM','%h:%i:%s %p')), 'MTWHF', 'Tom Beatty', 'ISBN-10:0596805527', 'ISBN-13:9780596805524', '', '');</v>
      </c>
    </row>
    <row r="9" spans="1:14" x14ac:dyDescent="0.25">
      <c r="A9" s="1" t="s">
        <v>28</v>
      </c>
      <c r="B9" t="s">
        <v>30</v>
      </c>
      <c r="C9" s="1">
        <v>0</v>
      </c>
      <c r="D9" s="1" t="s">
        <v>29</v>
      </c>
      <c r="E9" s="1">
        <v>3</v>
      </c>
      <c r="F9" s="2" t="s">
        <v>220</v>
      </c>
      <c r="G9" s="3" t="s">
        <v>221</v>
      </c>
      <c r="H9" s="1" t="s">
        <v>31</v>
      </c>
      <c r="I9" s="1" t="s">
        <v>32</v>
      </c>
      <c r="N9" t="str">
        <f t="shared" si="0"/>
        <v>INSERT INTO courses (Course_Code, Course_Desc, Sprint, Section, Credits, Start_Time, End_Time, Days_Taught, Instructor, ISBN_One_v10, ISBN_One_v13, ISBN_Two_v10, ISBN_Two_v13) VALUES ('SSC310', 'American Legal System', 0, 'A', 3, TIME(STR_TO_DATE('8:00:00 AM','%h:%i:%s %p')), TIME(STR_TO_DATE('8:50:00 AM','%h:%i:%s %p')), 'TWHF', 'Mark Herrera', '', '', '', '');</v>
      </c>
    </row>
    <row r="10" spans="1:14" x14ac:dyDescent="0.25">
      <c r="A10" s="1" t="s">
        <v>33</v>
      </c>
      <c r="B10" t="s">
        <v>34</v>
      </c>
      <c r="C10" s="1">
        <v>1</v>
      </c>
      <c r="D10" s="1">
        <v>1</v>
      </c>
      <c r="E10" s="1">
        <v>3</v>
      </c>
      <c r="F10" s="2" t="s">
        <v>223</v>
      </c>
      <c r="G10" s="3" t="s">
        <v>226</v>
      </c>
      <c r="H10" s="1" t="s">
        <v>8</v>
      </c>
      <c r="I10" s="1" t="s">
        <v>35</v>
      </c>
      <c r="N10" t="str">
        <f t="shared" si="0"/>
        <v>INSERT INTO courses (Course_Code, Course_Desc, Sprint, Section, Credits, Start_Time, End_Time, Days_Taught, Instructor, ISBN_One_v10, ISBN_One_v13, ISBN_Two_v10, ISBN_Two_v13) VALUES ('BUS445', 'International Business Practices', 1, '1', 3, TIME(STR_TO_DATE('9:00:00 AM','%h:%i:%s %p')), TIME(STR_TO_DATE('10:20:00 AM','%h:%i:%s %p')), 'MTWHF', 'Douglas Bingham', '', '', '', '');</v>
      </c>
    </row>
    <row r="11" spans="1:14" x14ac:dyDescent="0.25">
      <c r="A11" s="1" t="s">
        <v>36</v>
      </c>
      <c r="B11" t="s">
        <v>37</v>
      </c>
      <c r="C11" s="1">
        <v>1</v>
      </c>
      <c r="D11" s="1" t="s">
        <v>29</v>
      </c>
      <c r="E11" s="1">
        <v>2</v>
      </c>
      <c r="F11" s="2" t="s">
        <v>223</v>
      </c>
      <c r="G11" s="3" t="s">
        <v>222</v>
      </c>
      <c r="H11" s="1" t="s">
        <v>8</v>
      </c>
      <c r="I11" s="1" t="s">
        <v>38</v>
      </c>
      <c r="N11" t="str">
        <f t="shared" si="0"/>
        <v>INSERT INTO courses (Course_Code, Course_Desc, Sprint, Section, Credits, Start_Time, End_Time, Days_Taught, Instructor, ISBN_One_v10, ISBN_One_v13, ISBN_Two_v10, ISBN_Two_v13) VALUES ('ENG311', 'Principles of Creative Writing', 1, 'A', 2, TIME(STR_TO_DATE('9:00:00 AM','%h:%i:%s %p')), TIME(STR_TO_DATE('9:50:00 AM','%h:%i:%s %p')), 'MTWHF', 'Brandon Berrett', '', '', '', '');</v>
      </c>
    </row>
    <row r="12" spans="1:14" x14ac:dyDescent="0.25">
      <c r="A12" s="1" t="s">
        <v>39</v>
      </c>
      <c r="B12" t="s">
        <v>40</v>
      </c>
      <c r="C12" s="1">
        <v>1</v>
      </c>
      <c r="D12" s="1" t="s">
        <v>53</v>
      </c>
      <c r="E12" s="1">
        <v>2</v>
      </c>
      <c r="F12" s="2" t="s">
        <v>223</v>
      </c>
      <c r="G12" s="3" t="s">
        <v>222</v>
      </c>
      <c r="H12" s="1" t="s">
        <v>8</v>
      </c>
      <c r="I12" s="1" t="s">
        <v>41</v>
      </c>
      <c r="N12" t="str">
        <f t="shared" si="0"/>
        <v>INSERT INTO courses (Course_Code, Course_Desc, Sprint, Section, Credits, Start_Time, End_Time, Days_Taught, Instructor, ISBN_One_v10, ISBN_One_v13, ISBN_Two_v10, ISBN_Two_v13) VALUES ('FAC101', 'Art Appreciation', 1, 'B', 2, TIME(STR_TO_DATE('9:00:00 AM','%h:%i:%s %p')), TIME(STR_TO_DATE('9:50:00 AM','%h:%i:%s %p')), 'MTWHF', 'Timothy Parker', '', '', '', '');</v>
      </c>
    </row>
    <row r="13" spans="1:14" x14ac:dyDescent="0.25">
      <c r="A13" s="1" t="s">
        <v>19</v>
      </c>
      <c r="B13" t="s">
        <v>20</v>
      </c>
      <c r="C13" s="1">
        <v>1</v>
      </c>
      <c r="D13" s="1" t="s">
        <v>29</v>
      </c>
      <c r="E13" s="1">
        <v>2</v>
      </c>
      <c r="F13" s="2" t="s">
        <v>223</v>
      </c>
      <c r="G13" s="3" t="s">
        <v>222</v>
      </c>
      <c r="H13" s="1" t="s">
        <v>8</v>
      </c>
      <c r="I13" s="1" t="s">
        <v>42</v>
      </c>
      <c r="K13" t="s">
        <v>197</v>
      </c>
      <c r="N13" t="str">
        <f t="shared" si="0"/>
        <v>INSERT INTO courses (Course_Code, Course_Desc, Sprint, Section, Credits, Start_Time, End_Time, Days_Taught, Instructor, ISBN_One_v10, ISBN_One_v13, ISBN_Two_v10, ISBN_Two_v13) VALUES ('FAC299', 'Marketing Your Personal Brand', 1, 'A', 2, TIME(STR_TO_DATE('9:00:00 AM','%h:%i:%s %p')), TIME(STR_TO_DATE('9:50:00 AM','%h:%i:%s %p')), 'MTWHF', 'Patrick  Brown', '', 'ISBN-13:9781118968086', '', '');</v>
      </c>
    </row>
    <row r="14" spans="1:14" x14ac:dyDescent="0.25">
      <c r="A14" s="1" t="s">
        <v>43</v>
      </c>
      <c r="B14" t="s">
        <v>44</v>
      </c>
      <c r="C14" s="1">
        <v>1</v>
      </c>
      <c r="D14" s="1">
        <v>1</v>
      </c>
      <c r="E14" s="1">
        <v>3</v>
      </c>
      <c r="F14" s="2" t="s">
        <v>223</v>
      </c>
      <c r="G14" s="3" t="s">
        <v>226</v>
      </c>
      <c r="H14" s="1" t="s">
        <v>8</v>
      </c>
      <c r="I14" s="1" t="s">
        <v>32</v>
      </c>
      <c r="N14" t="str">
        <f t="shared" si="0"/>
        <v>INSERT INTO courses (Course_Code, Course_Desc, Sprint, Section, Credits, Start_Time, End_Time, Days_Taught, Instructor, ISBN_One_v10, ISBN_One_v13, ISBN_Two_v10, ISBN_Two_v13) VALUES ('HUM150', 'Logic', 1, '1', 3, TIME(STR_TO_DATE('9:00:00 AM','%h:%i:%s %p')), TIME(STR_TO_DATE('10:20:00 AM','%h:%i:%s %p')), 'MTWHF', 'Mark Herrera', '', '', '', '');</v>
      </c>
    </row>
    <row r="15" spans="1:14" x14ac:dyDescent="0.25">
      <c r="A15" s="1" t="s">
        <v>45</v>
      </c>
      <c r="B15" t="s">
        <v>46</v>
      </c>
      <c r="C15" s="1">
        <v>1</v>
      </c>
      <c r="D15" s="1" t="s">
        <v>29</v>
      </c>
      <c r="E15" s="1">
        <v>2</v>
      </c>
      <c r="F15" s="2" t="s">
        <v>223</v>
      </c>
      <c r="G15" s="3" t="s">
        <v>227</v>
      </c>
      <c r="H15" s="1" t="s">
        <v>47</v>
      </c>
      <c r="I15" s="1" t="s">
        <v>48</v>
      </c>
      <c r="K15" t="s">
        <v>198</v>
      </c>
      <c r="N15" t="str">
        <f t="shared" si="0"/>
        <v>INSERT INTO courses (Course_Code, Course_Desc, Sprint, Section, Credits, Start_Time, End_Time, Days_Taught, Instructor, ISBN_One_v10, ISBN_One_v13, ISBN_Two_v10, ISBN_Two_v13) VALUES ('ITH215', 'Networking I', 1, 'A', 2, TIME(STR_TO_DATE('9:00:00 AM','%h:%i:%s %p')), TIME(STR_TO_DATE('10:30:00 AM','%h:%i:%s %p')), 'MTW', 'Ben Fletcher', '', 'ISBN-13:9781587143854', '', '');</v>
      </c>
    </row>
    <row r="16" spans="1:14" x14ac:dyDescent="0.25">
      <c r="A16" s="1" t="s">
        <v>49</v>
      </c>
      <c r="B16" t="s">
        <v>50</v>
      </c>
      <c r="C16" s="1">
        <v>1</v>
      </c>
      <c r="D16" s="1">
        <v>1</v>
      </c>
      <c r="E16" s="1">
        <v>3</v>
      </c>
      <c r="F16" s="2" t="s">
        <v>223</v>
      </c>
      <c r="G16" s="3" t="s">
        <v>226</v>
      </c>
      <c r="H16" s="1" t="s">
        <v>8</v>
      </c>
      <c r="I16" s="1" t="s">
        <v>51</v>
      </c>
      <c r="N16" t="str">
        <f t="shared" si="0"/>
        <v>INSERT INTO courses (Course_Code, Course_Desc, Sprint, Section, Credits, Start_Time, End_Time, Days_Taught, Instructor, ISBN_One_v10, ISBN_One_v13, ISBN_Two_v10, ISBN_Two_v13) VALUES ('SSC320', 'Group Dynamics', 1, '1', 3, TIME(STR_TO_DATE('9:00:00 AM','%h:%i:%s %p')), TIME(STR_TO_DATE('10:20:00 AM','%h:%i:%s %p')), 'MTWHF', 'Russ Rampton', '', '', '', '');</v>
      </c>
    </row>
    <row r="17" spans="1:14" x14ac:dyDescent="0.25">
      <c r="A17" s="1" t="s">
        <v>52</v>
      </c>
      <c r="B17" t="s">
        <v>54</v>
      </c>
      <c r="C17" s="1">
        <v>0</v>
      </c>
      <c r="D17" s="1" t="s">
        <v>53</v>
      </c>
      <c r="E17" s="1">
        <v>6</v>
      </c>
      <c r="F17" s="2" t="s">
        <v>228</v>
      </c>
      <c r="G17" s="3" t="s">
        <v>230</v>
      </c>
      <c r="H17" s="1" t="s">
        <v>8</v>
      </c>
      <c r="I17" s="1" t="s">
        <v>55</v>
      </c>
      <c r="J17" t="s">
        <v>183</v>
      </c>
      <c r="N17" t="str">
        <f t="shared" si="0"/>
        <v>INSERT INTO courses (Course_Code, Course_Desc, Sprint, Section, Credits, Start_Time, End_Time, Days_Taught, Instructor, ISBN_One_v10, ISBN_One_v13, ISBN_Two_v10, ISBN_Two_v13) VALUES ('CSC150', 'Object Oriented Programming and Design', 0, 'B', 6, TIME(STR_TO_DATE('10:00:00 AM','%h:%i:%s %p')), TIME(STR_TO_DATE('11:50:00 AM','%h:%i:%s %p')), 'MTWHF', 'Matt Warner', 'ISBN-10:0133370461', '', '', '');</v>
      </c>
    </row>
    <row r="18" spans="1:14" x14ac:dyDescent="0.25">
      <c r="A18" s="1" t="s">
        <v>52</v>
      </c>
      <c r="B18" t="s">
        <v>54</v>
      </c>
      <c r="C18" s="1">
        <v>0</v>
      </c>
      <c r="D18" s="1" t="s">
        <v>56</v>
      </c>
      <c r="E18" s="1">
        <v>6</v>
      </c>
      <c r="F18" s="2" t="s">
        <v>228</v>
      </c>
      <c r="G18" s="3" t="s">
        <v>230</v>
      </c>
      <c r="H18" s="1" t="s">
        <v>8</v>
      </c>
      <c r="I18" s="1" t="s">
        <v>57</v>
      </c>
      <c r="J18" t="s">
        <v>183</v>
      </c>
      <c r="N18" t="str">
        <f t="shared" si="0"/>
        <v>INSERT INTO courses (Course_Code, Course_Desc, Sprint, Section, Credits, Start_Time, End_Time, Days_Taught, Instructor, ISBN_One_v10, ISBN_One_v13, ISBN_Two_v10, ISBN_Two_v13) VALUES ('CSC150', 'Object Oriented Programming and Design', 0, 'C', 6, TIME(STR_TO_DATE('10:00:00 AM','%h:%i:%s %p')), TIME(STR_TO_DATE('11:50:00 AM','%h:%i:%s %p')), 'MTWHF', 'Ryan Cox', 'ISBN-10:0133370461', '', '', '');</v>
      </c>
    </row>
    <row r="19" spans="1:14" x14ac:dyDescent="0.25">
      <c r="A19" s="1" t="s">
        <v>58</v>
      </c>
      <c r="B19" t="s">
        <v>59</v>
      </c>
      <c r="C19" s="1">
        <v>0</v>
      </c>
      <c r="D19" s="1" t="s">
        <v>172</v>
      </c>
      <c r="E19" s="1">
        <v>4</v>
      </c>
      <c r="F19" s="2" t="s">
        <v>228</v>
      </c>
      <c r="G19" s="3" t="s">
        <v>229</v>
      </c>
      <c r="H19" s="1" t="s">
        <v>8</v>
      </c>
      <c r="I19" s="1" t="s">
        <v>15</v>
      </c>
      <c r="J19" t="s">
        <v>185</v>
      </c>
      <c r="K19" t="s">
        <v>186</v>
      </c>
      <c r="N19" t="str">
        <f t="shared" si="0"/>
        <v>INSERT INTO courses (Course_Code, Course_Desc, Sprint, Section, Credits, Start_Time, End_Time, Days_Taught, Instructor, ISBN_One_v10, ISBN_One_v13, ISBN_Two_v10, ISBN_Two_v13) VALUES ('CSC180', 'Open Source Platforms Development', 0, '-', 4, TIME(STR_TO_DATE('10:00:00 AM','%h:%i:%s %p')), TIME(STR_TO_DATE('10:50:00 AM','%h:%i:%s %p')), 'MTWHF', 'Ron Price', 'ISBN-10:0131872486', 'ISBN-13:9780131872486', '', '');</v>
      </c>
    </row>
    <row r="20" spans="1:14" x14ac:dyDescent="0.25">
      <c r="A20" s="1" t="s">
        <v>60</v>
      </c>
      <c r="B20" t="s">
        <v>61</v>
      </c>
      <c r="C20" s="1">
        <v>1</v>
      </c>
      <c r="D20" s="1" t="s">
        <v>29</v>
      </c>
      <c r="E20" s="1">
        <v>2</v>
      </c>
      <c r="F20" s="2" t="s">
        <v>228</v>
      </c>
      <c r="G20" s="3" t="s">
        <v>229</v>
      </c>
      <c r="H20" s="1" t="s">
        <v>8</v>
      </c>
      <c r="I20" s="1" t="s">
        <v>27</v>
      </c>
      <c r="K20" t="s">
        <v>187</v>
      </c>
      <c r="L20" t="s">
        <v>188</v>
      </c>
      <c r="M20" t="s">
        <v>189</v>
      </c>
      <c r="N20" t="str">
        <f t="shared" si="0"/>
        <v>INSERT INTO courses (Course_Code, Course_Desc, Sprint, Section, Credits, Start_Time, End_Time, Days_Taught, Instructor, ISBN_One_v10, ISBN_One_v13, ISBN_Two_v10, ISBN_Two_v13) VALUES ('CSC210', 'Introduction to Web Presentation and Development', 1, 'A', 2, TIME(STR_TO_DATE('10:00:00 AM','%h:%i:%s %p')), TIME(STR_TO_DATE('10:50:00 AM','%h:%i:%s %p')), 'MTWHF', 'Tom Beatty', '', 'ISBN-13:9781118531648', 'ISBN-10:1118008189', 'ISBN-13:9781118008188');</v>
      </c>
    </row>
    <row r="21" spans="1:14" x14ac:dyDescent="0.25">
      <c r="A21" s="1" t="s">
        <v>62</v>
      </c>
      <c r="B21" t="s">
        <v>63</v>
      </c>
      <c r="C21" s="1">
        <v>0</v>
      </c>
      <c r="D21" s="1" t="s">
        <v>172</v>
      </c>
      <c r="E21" s="1">
        <v>3</v>
      </c>
      <c r="F21" s="2" t="s">
        <v>228</v>
      </c>
      <c r="G21" s="3" t="s">
        <v>229</v>
      </c>
      <c r="H21" s="1" t="s">
        <v>64</v>
      </c>
      <c r="I21" s="1" t="s">
        <v>9</v>
      </c>
      <c r="N21" t="str">
        <f t="shared" si="0"/>
        <v>INSERT INTO courses (Course_Code, Course_Desc, Sprint, Section, Credits, Start_Time, End_Time, Days_Taught, Instructor, ISBN_One_v10, ISBN_One_v13, ISBN_Two_v10, ISBN_Two_v13) VALUES ('CSC390', 'Operating Systems', 0, '-', 3, TIME(STR_TO_DATE('10:00:00 AM','%h:%i:%s %p')), TIME(STR_TO_DATE('10:50:00 AM','%h:%i:%s %p')), 'MTWH', 'Steve Halladay', '', '', '', '');</v>
      </c>
    </row>
    <row r="22" spans="1:14" x14ac:dyDescent="0.25">
      <c r="A22" s="1" t="s">
        <v>65</v>
      </c>
      <c r="B22" t="s">
        <v>66</v>
      </c>
      <c r="C22" s="1">
        <v>0</v>
      </c>
      <c r="D22" s="1" t="s">
        <v>29</v>
      </c>
      <c r="E22" s="1">
        <v>3</v>
      </c>
      <c r="F22" s="2" t="s">
        <v>228</v>
      </c>
      <c r="G22" s="3" t="s">
        <v>229</v>
      </c>
      <c r="H22" s="1" t="s">
        <v>64</v>
      </c>
      <c r="I22" s="1" t="s">
        <v>67</v>
      </c>
      <c r="N22" t="str">
        <f t="shared" si="0"/>
        <v>INSERT INTO courses (Course_Code, Course_Desc, Sprint, Section, Credits, Start_Time, End_Time, Days_Taught, Instructor, ISBN_One_v10, ISBN_One_v13, ISBN_Two_v10, ISBN_Two_v13) VALUES ('FAC120', 'Spoken Communications', 0, 'A', 3, TIME(STR_TO_DATE('10:00:00 AM','%h:%i:%s %p')), TIME(STR_TO_DATE('10:50:00 AM','%h:%i:%s %p')), 'MTWH', 'Jeremiah Harrison', '', '', '', '');</v>
      </c>
    </row>
    <row r="23" spans="1:14" x14ac:dyDescent="0.25">
      <c r="A23" s="1" t="s">
        <v>45</v>
      </c>
      <c r="B23" t="s">
        <v>46</v>
      </c>
      <c r="C23" s="1">
        <v>1</v>
      </c>
      <c r="D23" s="1" t="s">
        <v>53</v>
      </c>
      <c r="E23" s="1">
        <v>2</v>
      </c>
      <c r="F23" s="2" t="s">
        <v>227</v>
      </c>
      <c r="G23" s="3" t="s">
        <v>233</v>
      </c>
      <c r="H23" s="1" t="s">
        <v>47</v>
      </c>
      <c r="I23" s="1" t="s">
        <v>48</v>
      </c>
      <c r="K23" t="s">
        <v>198</v>
      </c>
      <c r="N23" t="str">
        <f t="shared" si="0"/>
        <v>INSERT INTO courses (Course_Code, Course_Desc, Sprint, Section, Credits, Start_Time, End_Time, Days_Taught, Instructor, ISBN_One_v10, ISBN_One_v13, ISBN_Two_v10, ISBN_Two_v13) VALUES ('ITH215', 'Networking I', 1, 'B', 2, TIME(STR_TO_DATE('10:30:00 AM','%h:%i:%s %p')), TIME(STR_TO_DATE('12:00:00 PM','%h:%i:%s %p')), 'MTW', 'Ben Fletcher', '', 'ISBN-13:9781587143854', '', '');</v>
      </c>
    </row>
    <row r="24" spans="1:14" x14ac:dyDescent="0.25">
      <c r="A24" s="1" t="s">
        <v>68</v>
      </c>
      <c r="B24" t="s">
        <v>69</v>
      </c>
      <c r="C24" s="1">
        <v>1</v>
      </c>
      <c r="D24" s="1">
        <v>1</v>
      </c>
      <c r="E24" s="1">
        <v>3</v>
      </c>
      <c r="F24" s="2" t="s">
        <v>227</v>
      </c>
      <c r="G24" s="3" t="s">
        <v>230</v>
      </c>
      <c r="H24" s="1" t="s">
        <v>8</v>
      </c>
      <c r="I24" s="1" t="s">
        <v>70</v>
      </c>
      <c r="K24" t="s">
        <v>199</v>
      </c>
      <c r="N24" t="str">
        <f t="shared" si="0"/>
        <v>INSERT INTO courses (Course_Code, Course_Desc, Sprint, Section, Credits, Start_Time, End_Time, Days_Taught, Instructor, ISBN_One_v10, ISBN_One_v13, ISBN_Two_v10, ISBN_Two_v13) VALUES ('ITS320', 'Systems, Network, and Physical Security', 1, '1', 3, TIME(STR_TO_DATE('10:30:00 AM','%h:%i:%s %p')), TIME(STR_TO_DATE('11:50:00 AM','%h:%i:%s %p')), 'MTWHF', 'Kerry Cox', '', 'ISBN-13:9781939136022', '', '');</v>
      </c>
    </row>
    <row r="25" spans="1:14" x14ac:dyDescent="0.25">
      <c r="A25" s="1" t="s">
        <v>71</v>
      </c>
      <c r="B25" t="s">
        <v>72</v>
      </c>
      <c r="C25" s="1">
        <v>1</v>
      </c>
      <c r="D25" s="1" t="s">
        <v>29</v>
      </c>
      <c r="E25" s="1">
        <v>2</v>
      </c>
      <c r="F25" s="2" t="s">
        <v>227</v>
      </c>
      <c r="G25" s="3" t="s">
        <v>231</v>
      </c>
      <c r="H25" s="1" t="s">
        <v>8</v>
      </c>
      <c r="I25" s="1" t="s">
        <v>73</v>
      </c>
      <c r="K25" t="s">
        <v>213</v>
      </c>
      <c r="N25" t="str">
        <f t="shared" si="0"/>
        <v>INSERT INTO courses (Course_Code, Course_Desc, Sprint, Section, Credits, Start_Time, End_Time, Days_Taught, Instructor, ISBN_One_v10, ISBN_One_v13, ISBN_Two_v10, ISBN_Two_v13) VALUES ('PSC230', 'Introduction to Chemistry', 1, 'A', 2, TIME(STR_TO_DATE('10:30:00 AM','%h:%i:%s %p')), TIME(STR_TO_DATE('11:20:00 AM','%h:%i:%s %p')), 'MTWHF', 'Eric Kohler', '', 'ISBN-13:9780321729958', '', '');</v>
      </c>
    </row>
    <row r="26" spans="1:14" x14ac:dyDescent="0.25">
      <c r="A26" s="1" t="s">
        <v>74</v>
      </c>
      <c r="B26" t="s">
        <v>75</v>
      </c>
      <c r="C26" s="1">
        <v>0</v>
      </c>
      <c r="D26" s="1" t="s">
        <v>29</v>
      </c>
      <c r="E26" s="1">
        <v>4</v>
      </c>
      <c r="F26" s="2" t="s">
        <v>232</v>
      </c>
      <c r="G26" s="3" t="s">
        <v>230</v>
      </c>
      <c r="H26" s="1" t="s">
        <v>8</v>
      </c>
      <c r="I26" s="1" t="s">
        <v>15</v>
      </c>
      <c r="J26" t="s">
        <v>193</v>
      </c>
      <c r="K26" t="s">
        <v>194</v>
      </c>
      <c r="L26" t="s">
        <v>195</v>
      </c>
      <c r="M26" t="s">
        <v>196</v>
      </c>
      <c r="N26" t="str">
        <f t="shared" si="0"/>
        <v>INSERT INTO courses (Course_Code, Course_Desc, Sprint, Section, Credits, Start_Time, End_Time, Days_Taught, Instructor, ISBN_One_v10, ISBN_One_v13, ISBN_Two_v10, ISBN_Two_v13) VALUES ('CSC280', 'Developing Scalable Web Applications', 0, 'A', 4, TIME(STR_TO_DATE('11:00:00 AM','%h:%i:%s %p')), TIME(STR_TO_DATE('11:50:00 AM','%h:%i:%s %p')), 'MTWHF', 'Ron Price', 'ISBN-10:0596516681', 'ISBN-13:9780596516680', 'ISBN-10:1430219564', 'ISBN-13:9781430219569');</v>
      </c>
    </row>
    <row r="27" spans="1:14" x14ac:dyDescent="0.25">
      <c r="A27" s="1" t="s">
        <v>76</v>
      </c>
      <c r="B27" t="s">
        <v>77</v>
      </c>
      <c r="C27" s="1">
        <v>0</v>
      </c>
      <c r="D27" s="1" t="s">
        <v>172</v>
      </c>
      <c r="E27" s="1">
        <v>4</v>
      </c>
      <c r="F27" s="2" t="s">
        <v>232</v>
      </c>
      <c r="G27" s="3" t="s">
        <v>230</v>
      </c>
      <c r="H27" s="1" t="s">
        <v>8</v>
      </c>
      <c r="I27" s="1" t="s">
        <v>9</v>
      </c>
      <c r="N27" t="str">
        <f t="shared" si="0"/>
        <v>INSERT INTO courses (Course_Code, Course_Desc, Sprint, Section, Credits, Start_Time, End_Time, Days_Taught, Instructor, ISBN_One_v10, ISBN_One_v13, ISBN_Two_v10, ISBN_Two_v13) VALUES ('CSC460', 'Industry Trends in Software Development', 0, '-', 4, TIME(STR_TO_DATE('11:00:00 AM','%h:%i:%s %p')), TIME(STR_TO_DATE('11:50:00 AM','%h:%i:%s %p')), 'MTWHF', 'Steve Halladay', '', '', '', '');</v>
      </c>
    </row>
    <row r="28" spans="1:14" x14ac:dyDescent="0.25">
      <c r="A28" s="1" t="s">
        <v>65</v>
      </c>
      <c r="B28" t="s">
        <v>66</v>
      </c>
      <c r="C28" s="1">
        <v>0</v>
      </c>
      <c r="D28" s="1" t="s">
        <v>53</v>
      </c>
      <c r="E28" s="1">
        <v>3</v>
      </c>
      <c r="F28" s="2" t="s">
        <v>232</v>
      </c>
      <c r="G28" s="3" t="s">
        <v>230</v>
      </c>
      <c r="H28" s="1" t="s">
        <v>64</v>
      </c>
      <c r="I28" s="1" t="s">
        <v>67</v>
      </c>
      <c r="N28" t="str">
        <f t="shared" si="0"/>
        <v>INSERT INTO courses (Course_Code, Course_Desc, Sprint, Section, Credits, Start_Time, End_Time, Days_Taught, Instructor, ISBN_One_v10, ISBN_One_v13, ISBN_Two_v10, ISBN_Two_v13) VALUES ('FAC120', 'Spoken Communications', 0, 'B', 3, TIME(STR_TO_DATE('11:00:00 AM','%h:%i:%s %p')), TIME(STR_TO_DATE('11:50:00 AM','%h:%i:%s %p')), 'MTWH', 'Jeremiah Harrison', '', '', '', '');</v>
      </c>
    </row>
    <row r="29" spans="1:14" x14ac:dyDescent="0.25">
      <c r="A29" s="1" t="s">
        <v>78</v>
      </c>
      <c r="B29" t="s">
        <v>79</v>
      </c>
      <c r="C29" s="1">
        <v>0</v>
      </c>
      <c r="D29" s="1" t="s">
        <v>172</v>
      </c>
      <c r="E29" s="1">
        <v>3</v>
      </c>
      <c r="F29" s="2" t="s">
        <v>232</v>
      </c>
      <c r="G29" s="3" t="s">
        <v>230</v>
      </c>
      <c r="H29" s="1" t="s">
        <v>64</v>
      </c>
      <c r="I29" s="1" t="s">
        <v>32</v>
      </c>
      <c r="N29" t="str">
        <f t="shared" si="0"/>
        <v>INSERT INTO courses (Course_Code, Course_Desc, Sprint, Section, Credits, Start_Time, End_Time, Days_Taught, Instructor, ISBN_One_v10, ISBN_One_v13, ISBN_Two_v10, ISBN_Two_v13) VALUES ('HUM205', 'Ethics', 0, '-', 3, TIME(STR_TO_DATE('11:00:00 AM','%h:%i:%s %p')), TIME(STR_TO_DATE('11:50:00 AM','%h:%i:%s %p')), 'MTWH', 'Mark Herrera', '', '', '', '');</v>
      </c>
    </row>
    <row r="30" spans="1:14" x14ac:dyDescent="0.25">
      <c r="A30" s="1" t="s">
        <v>80</v>
      </c>
      <c r="B30" t="s">
        <v>81</v>
      </c>
      <c r="C30" s="1">
        <v>1</v>
      </c>
      <c r="D30" s="1" t="s">
        <v>215</v>
      </c>
      <c r="E30" s="1">
        <v>3</v>
      </c>
      <c r="F30" s="2" t="s">
        <v>234</v>
      </c>
      <c r="G30" s="3" t="s">
        <v>236</v>
      </c>
      <c r="H30" s="1" t="s">
        <v>8</v>
      </c>
      <c r="I30" s="1" t="s">
        <v>70</v>
      </c>
      <c r="K30" t="s">
        <v>174</v>
      </c>
      <c r="N30" t="str">
        <f t="shared" si="0"/>
        <v>INSERT INTO courses (Course_Code, Course_Desc, Sprint, Section, Credits, Start_Time, End_Time, Days_Taught, Instructor, ISBN_One_v10, ISBN_One_v13, ISBN_Two_v10, ISBN_Two_v13) VALUES ('BIT220', 'Server Administration I: Windows', 1, 'M', 3, TIME(STR_TO_DATE('1:00:00 PM','%h:%i:%s %p')), TIME(STR_TO_DATE('2:20:00 PM','%h:%i:%s %p')), 'MTWHF', 'Kerry Cox', '', 'ISBN-13:9781118859919', '', '');</v>
      </c>
    </row>
    <row r="31" spans="1:14" x14ac:dyDescent="0.25">
      <c r="A31" s="1" t="s">
        <v>82</v>
      </c>
      <c r="B31" t="s">
        <v>83</v>
      </c>
      <c r="C31" s="1">
        <v>1</v>
      </c>
      <c r="D31" s="1" t="s">
        <v>215</v>
      </c>
      <c r="E31" s="1">
        <v>2</v>
      </c>
      <c r="F31" s="2" t="s">
        <v>234</v>
      </c>
      <c r="G31" s="3" t="s">
        <v>235</v>
      </c>
      <c r="H31" s="1" t="s">
        <v>8</v>
      </c>
      <c r="I31" s="1" t="s">
        <v>15</v>
      </c>
      <c r="K31" t="s">
        <v>177</v>
      </c>
      <c r="L31" t="s">
        <v>178</v>
      </c>
      <c r="M31" t="s">
        <v>179</v>
      </c>
      <c r="N31" t="str">
        <f t="shared" si="0"/>
        <v>INSERT INTO courses (Course_Code, Course_Desc, Sprint, Section, Credits, Start_Time, End_Time, Days_Taught, Instructor, ISBN_One_v10, ISBN_One_v13, ISBN_Two_v10, ISBN_Two_v13) VALUES ('BIT320', 'Shell and Administrative Scripting', 1, 'M', 2, TIME(STR_TO_DATE('1:00:00 PM','%h:%i:%s %p')), TIME(STR_TO_DATE('1:50:00 PM','%h:%i:%s %p')), 'MTWHF', 'Ron Price', '', 'ISBN-13:9781782162742', 'ISBN-10:1449320686', 'ISBN-13:9781449320683');</v>
      </c>
    </row>
    <row r="32" spans="1:14" x14ac:dyDescent="0.25">
      <c r="A32" s="1" t="s">
        <v>84</v>
      </c>
      <c r="B32" t="s">
        <v>85</v>
      </c>
      <c r="C32" s="1">
        <v>0</v>
      </c>
      <c r="D32" s="1" t="s">
        <v>172</v>
      </c>
      <c r="E32" s="1">
        <v>4</v>
      </c>
      <c r="F32" s="2" t="s">
        <v>234</v>
      </c>
      <c r="G32" s="3" t="s">
        <v>236</v>
      </c>
      <c r="H32" s="1" t="s">
        <v>8</v>
      </c>
      <c r="I32" s="1" t="s">
        <v>18</v>
      </c>
      <c r="J32" t="s">
        <v>183</v>
      </c>
      <c r="N32" t="str">
        <f t="shared" si="0"/>
        <v>INSERT INTO courses (Course_Code, Course_Desc, Sprint, Section, Credits, Start_Time, End_Time, Days_Taught, Instructor, ISBN_One_v10, ISBN_One_v13, ISBN_Two_v10, ISBN_Two_v13) VALUES ('CSC110', 'Introduction to Computer Science', 0, '-', 4, TIME(STR_TO_DATE('1:00:00 PM','%h:%i:%s %p')), TIME(STR_TO_DATE('2:20:00 PM','%h:%i:%s %p')), 'MTWHF', 'Joshua Krebs', 'ISBN-10:0133370461', '', '', '');</v>
      </c>
    </row>
    <row r="33" spans="1:14" x14ac:dyDescent="0.25">
      <c r="A33" s="1" t="s">
        <v>52</v>
      </c>
      <c r="B33" t="s">
        <v>54</v>
      </c>
      <c r="C33" s="1">
        <v>0</v>
      </c>
      <c r="D33" s="1" t="s">
        <v>29</v>
      </c>
      <c r="E33" s="1">
        <v>6</v>
      </c>
      <c r="F33" s="2" t="s">
        <v>234</v>
      </c>
      <c r="G33" s="3" t="s">
        <v>237</v>
      </c>
      <c r="H33" s="1" t="s">
        <v>8</v>
      </c>
      <c r="I33" s="1" t="s">
        <v>86</v>
      </c>
      <c r="J33" t="s">
        <v>183</v>
      </c>
      <c r="N33" t="str">
        <f t="shared" si="0"/>
        <v>INSERT INTO courses (Course_Code, Course_Desc, Sprint, Section, Credits, Start_Time, End_Time, Days_Taught, Instructor, ISBN_One_v10, ISBN_One_v13, ISBN_Two_v10, ISBN_Two_v13) VALUES ('CSC150', 'Object Oriented Programming and Design', 0, 'A', 6, TIME(STR_TO_DATE('1:00:00 PM','%h:%i:%s %p')), TIME(STR_TO_DATE('2:50:00 PM','%h:%i:%s %p')), 'MTWHF', 'Robert Lamb', 'ISBN-10:0133370461', '', '', '');</v>
      </c>
    </row>
    <row r="34" spans="1:14" x14ac:dyDescent="0.25">
      <c r="A34" s="1" t="s">
        <v>60</v>
      </c>
      <c r="B34" t="s">
        <v>61</v>
      </c>
      <c r="C34" s="1">
        <v>1</v>
      </c>
      <c r="D34" s="1" t="s">
        <v>56</v>
      </c>
      <c r="E34" s="1">
        <v>2</v>
      </c>
      <c r="F34" s="2" t="s">
        <v>234</v>
      </c>
      <c r="G34" s="3" t="s">
        <v>235</v>
      </c>
      <c r="H34" s="1" t="s">
        <v>8</v>
      </c>
      <c r="I34" s="1" t="s">
        <v>27</v>
      </c>
      <c r="K34" t="s">
        <v>187</v>
      </c>
      <c r="L34" t="s">
        <v>188</v>
      </c>
      <c r="M34" t="s">
        <v>189</v>
      </c>
      <c r="N34" t="str">
        <f t="shared" si="0"/>
        <v>INSERT INTO courses (Course_Code, Course_Desc, Sprint, Section, Credits, Start_Time, End_Time, Days_Taught, Instructor, ISBN_One_v10, ISBN_One_v13, ISBN_Two_v10, ISBN_Two_v13) VALUES ('CSC210', 'Introduction to Web Presentation and Development', 1, 'C', 2, TIME(STR_TO_DATE('1:00:00 PM','%h:%i:%s %p')), TIME(STR_TO_DATE('1:50:00 PM','%h:%i:%s %p')), 'MTWHF', 'Tom Beatty', '', 'ISBN-13:9781118531648', 'ISBN-10:1118008189', 'ISBN-13:9781118008188');</v>
      </c>
    </row>
    <row r="35" spans="1:14" x14ac:dyDescent="0.25">
      <c r="A35" s="1" t="s">
        <v>65</v>
      </c>
      <c r="B35" t="s">
        <v>66</v>
      </c>
      <c r="C35" s="1">
        <v>0</v>
      </c>
      <c r="D35" s="1" t="s">
        <v>87</v>
      </c>
      <c r="E35" s="1">
        <v>3</v>
      </c>
      <c r="F35" s="2" t="s">
        <v>234</v>
      </c>
      <c r="G35" s="3" t="s">
        <v>235</v>
      </c>
      <c r="H35" s="1" t="s">
        <v>64</v>
      </c>
      <c r="I35" s="1" t="s">
        <v>67</v>
      </c>
      <c r="N35" t="str">
        <f t="shared" si="0"/>
        <v>INSERT INTO courses (Course_Code, Course_Desc, Sprint, Section, Credits, Start_Time, End_Time, Days_Taught, Instructor, ISBN_One_v10, ISBN_One_v13, ISBN_Two_v10, ISBN_Two_v13) VALUES ('FAC120', 'Spoken Communications', 0, 'D', 3, TIME(STR_TO_DATE('1:00:00 PM','%h:%i:%s %p')), TIME(STR_TO_DATE('1:50:00 PM','%h:%i:%s %p')), 'MTWH', 'Jeremiah Harrison', '', '', '', '');</v>
      </c>
    </row>
    <row r="36" spans="1:14" x14ac:dyDescent="0.25">
      <c r="A36" s="1" t="s">
        <v>88</v>
      </c>
      <c r="B36" t="s">
        <v>89</v>
      </c>
      <c r="C36" s="1">
        <v>1</v>
      </c>
      <c r="D36" s="1" t="s">
        <v>53</v>
      </c>
      <c r="E36" s="1">
        <v>2</v>
      </c>
      <c r="F36" s="2" t="s">
        <v>234</v>
      </c>
      <c r="G36" s="3" t="s">
        <v>235</v>
      </c>
      <c r="H36" s="1" t="s">
        <v>8</v>
      </c>
      <c r="I36" s="1" t="s">
        <v>38</v>
      </c>
      <c r="N36" t="str">
        <f t="shared" si="0"/>
        <v>INSERT INTO courses (Course_Code, Course_Desc, Sprint, Section, Credits, Start_Time, End_Time, Days_Taught, Instructor, ISBN_One_v10, ISBN_One_v13, ISBN_Two_v10, ISBN_Two_v13) VALUES ('HUM200', 'The Imagination of Horror in Media', 1, 'B', 2, TIME(STR_TO_DATE('1:00:00 PM','%h:%i:%s %p')), TIME(STR_TO_DATE('1:50:00 PM','%h:%i:%s %p')), 'MTWHF', 'Brandon Berrett', '', '', '', '');</v>
      </c>
    </row>
    <row r="37" spans="1:14" x14ac:dyDescent="0.25">
      <c r="A37" s="1" t="s">
        <v>90</v>
      </c>
      <c r="B37" t="s">
        <v>91</v>
      </c>
      <c r="C37" s="1">
        <v>1</v>
      </c>
      <c r="D37" s="1">
        <v>1</v>
      </c>
      <c r="E37" s="1">
        <v>4</v>
      </c>
      <c r="F37" s="2" t="s">
        <v>234</v>
      </c>
      <c r="G37" s="3" t="s">
        <v>237</v>
      </c>
      <c r="H37" s="1" t="s">
        <v>8</v>
      </c>
      <c r="I37" s="1" t="s">
        <v>12</v>
      </c>
      <c r="J37" t="s">
        <v>209</v>
      </c>
      <c r="K37" t="s">
        <v>210</v>
      </c>
      <c r="N37" t="str">
        <f t="shared" si="0"/>
        <v>INSERT INTO courses (Course_Code, Course_Desc, Sprint, Section, Credits, Start_Time, End_Time, Days_Taught, Instructor, ISBN_One_v10, ISBN_One_v13, ISBN_Two_v10, ISBN_Two_v13) VALUES ('MGT470', 'Practices in Project Management', 1, '1', 4, TIME(STR_TO_DATE('1:00:00 PM','%h:%i:%s %p')), TIME(STR_TO_DATE('2:50:00 PM','%h:%i:%s %p')), 'MTWHF', 'John Kane', 'ISBN-10:1935589679', 'ISBN-13:9781935589679', '', '');</v>
      </c>
    </row>
    <row r="38" spans="1:14" x14ac:dyDescent="0.25">
      <c r="A38" s="1" t="s">
        <v>92</v>
      </c>
      <c r="B38" t="s">
        <v>93</v>
      </c>
      <c r="C38" s="1">
        <v>0</v>
      </c>
      <c r="D38" s="1" t="s">
        <v>172</v>
      </c>
      <c r="E38" s="1">
        <v>4</v>
      </c>
      <c r="F38" s="2" t="s">
        <v>234</v>
      </c>
      <c r="G38" s="3" t="s">
        <v>237</v>
      </c>
      <c r="H38" s="1" t="s">
        <v>8</v>
      </c>
      <c r="I38" s="1" t="s">
        <v>55</v>
      </c>
      <c r="N38" t="str">
        <f t="shared" si="0"/>
        <v>INSERT INTO courses (Course_Code, Course_Desc, Sprint, Section, Credits, Start_Time, End_Time, Days_Taught, Instructor, ISBN_One_v10, ISBN_One_v13, ISBN_Two_v10, ISBN_Two_v13) VALUES ('PRO390', 'Capstone Project', 0, '-', 4, TIME(STR_TO_DATE('1:00:00 PM','%h:%i:%s %p')), TIME(STR_TO_DATE('2:50:00 PM','%h:%i:%s %p')), 'MTWHF', 'Matt Warner', '', '', '', '');</v>
      </c>
    </row>
    <row r="39" spans="1:14" x14ac:dyDescent="0.25">
      <c r="A39" s="1" t="s">
        <v>94</v>
      </c>
      <c r="B39" t="s">
        <v>95</v>
      </c>
      <c r="C39" s="1">
        <v>0</v>
      </c>
      <c r="D39" s="1" t="s">
        <v>172</v>
      </c>
      <c r="E39" s="1">
        <v>6</v>
      </c>
      <c r="F39" s="2" t="s">
        <v>234</v>
      </c>
      <c r="G39" s="3" t="s">
        <v>244</v>
      </c>
      <c r="H39" s="1" t="s">
        <v>8</v>
      </c>
      <c r="I39" s="1" t="s">
        <v>21</v>
      </c>
      <c r="N39" t="str">
        <f t="shared" si="0"/>
        <v>INSERT INTO courses (Course_Code, Course_Desc, Sprint, Section, Credits, Start_Time, End_Time, Days_Taught, Instructor, ISBN_One_v10, ISBN_One_v13, ISBN_Two_v10, ISBN_Two_v13) VALUES ('PRO485', 'Game Studio I', 0, '-', 6, TIME(STR_TO_DATE('1:00:00 PM','%h:%i:%s %p')), TIME(STR_TO_DATE('4:50:00 PM','%h:%i:%s %p')), 'MTWHF', 'Jayson Beagley', '', '', '', '');</v>
      </c>
    </row>
    <row r="40" spans="1:14" x14ac:dyDescent="0.25">
      <c r="A40" s="1" t="s">
        <v>96</v>
      </c>
      <c r="B40" t="s">
        <v>97</v>
      </c>
      <c r="C40" s="1">
        <v>0</v>
      </c>
      <c r="D40" s="1" t="s">
        <v>172</v>
      </c>
      <c r="E40" s="1">
        <v>6</v>
      </c>
      <c r="F40" s="2" t="s">
        <v>234</v>
      </c>
      <c r="G40" s="3" t="s">
        <v>244</v>
      </c>
      <c r="H40" s="1" t="s">
        <v>8</v>
      </c>
      <c r="I40" s="1" t="s">
        <v>21</v>
      </c>
      <c r="N40" t="str">
        <f t="shared" si="0"/>
        <v>INSERT INTO courses (Course_Code, Course_Desc, Sprint, Section, Credits, Start_Time, End_Time, Days_Taught, Instructor, ISBN_One_v10, ISBN_One_v13, ISBN_Two_v10, ISBN_Two_v13) VALUES ('PRO486', 'Game Studio II', 0, '-', 6, TIME(STR_TO_DATE('1:00:00 PM','%h:%i:%s %p')), TIME(STR_TO_DATE('4:50:00 PM','%h:%i:%s %p')), 'MTWHF', 'Jayson Beagley', '', '', '', '');</v>
      </c>
    </row>
    <row r="41" spans="1:14" x14ac:dyDescent="0.25">
      <c r="A41" s="1" t="s">
        <v>98</v>
      </c>
      <c r="B41" t="s">
        <v>99</v>
      </c>
      <c r="C41" s="1">
        <v>0</v>
      </c>
      <c r="D41" s="1" t="s">
        <v>172</v>
      </c>
      <c r="E41" s="1">
        <v>6</v>
      </c>
      <c r="F41" s="2" t="s">
        <v>234</v>
      </c>
      <c r="G41" s="3" t="s">
        <v>244</v>
      </c>
      <c r="H41" s="1" t="s">
        <v>8</v>
      </c>
      <c r="I41" s="1" t="s">
        <v>21</v>
      </c>
      <c r="N41" t="str">
        <f t="shared" si="0"/>
        <v>INSERT INTO courses (Course_Code, Course_Desc, Sprint, Section, Credits, Start_Time, End_Time, Days_Taught, Instructor, ISBN_One_v10, ISBN_One_v13, ISBN_Two_v10, ISBN_Two_v13) VALUES ('PRO490', 'Enterprise Projects I', 0, '-', 6, TIME(STR_TO_DATE('1:00:00 PM','%h:%i:%s %p')), TIME(STR_TO_DATE('4:50:00 PM','%h:%i:%s %p')), 'MTWHF', 'Jayson Beagley', '', '', '', '');</v>
      </c>
    </row>
    <row r="42" spans="1:14" x14ac:dyDescent="0.25">
      <c r="A42" s="1" t="s">
        <v>100</v>
      </c>
      <c r="B42" t="s">
        <v>101</v>
      </c>
      <c r="C42" s="1">
        <v>0</v>
      </c>
      <c r="D42" s="1" t="s">
        <v>172</v>
      </c>
      <c r="E42" s="1">
        <v>6</v>
      </c>
      <c r="F42" s="2" t="s">
        <v>234</v>
      </c>
      <c r="G42" s="3" t="s">
        <v>244</v>
      </c>
      <c r="H42" s="1" t="s">
        <v>8</v>
      </c>
      <c r="I42" s="1" t="s">
        <v>21</v>
      </c>
      <c r="N42" t="str">
        <f t="shared" si="0"/>
        <v>INSERT INTO courses (Course_Code, Course_Desc, Sprint, Section, Credits, Start_Time, End_Time, Days_Taught, Instructor, ISBN_One_v10, ISBN_One_v13, ISBN_Two_v10, ISBN_Two_v13) VALUES ('PRO491', 'Enterprise Projects II', 0, '-', 6, TIME(STR_TO_DATE('1:00:00 PM','%h:%i:%s %p')), TIME(STR_TO_DATE('4:50:00 PM','%h:%i:%s %p')), 'MTWHF', 'Jayson Beagley', '', '', '', '');</v>
      </c>
    </row>
    <row r="43" spans="1:14" x14ac:dyDescent="0.25">
      <c r="A43" s="1" t="s">
        <v>100</v>
      </c>
      <c r="B43" t="s">
        <v>101</v>
      </c>
      <c r="C43" s="1">
        <v>0</v>
      </c>
      <c r="D43" s="1" t="s">
        <v>172</v>
      </c>
      <c r="E43" s="1">
        <v>6</v>
      </c>
      <c r="F43" s="2" t="s">
        <v>234</v>
      </c>
      <c r="G43" s="3" t="s">
        <v>244</v>
      </c>
      <c r="H43" s="1" t="s">
        <v>8</v>
      </c>
      <c r="I43" s="1" t="s">
        <v>21</v>
      </c>
      <c r="N43" t="str">
        <f t="shared" si="0"/>
        <v>INSERT INTO courses (Course_Code, Course_Desc, Sprint, Section, Credits, Start_Time, End_Time, Days_Taught, Instructor, ISBN_One_v10, ISBN_One_v13, ISBN_Two_v10, ISBN_Two_v13) VALUES ('PRO491', 'Enterprise Projects II', 0, '-', 6, TIME(STR_TO_DATE('1:00:00 PM','%h:%i:%s %p')), TIME(STR_TO_DATE('4:50:00 PM','%h:%i:%s %p')), 'MTWHF', 'Jayson Beagley', '', '', '', '');</v>
      </c>
    </row>
    <row r="44" spans="1:14" x14ac:dyDescent="0.25">
      <c r="A44" s="1" t="s">
        <v>100</v>
      </c>
      <c r="B44" t="s">
        <v>101</v>
      </c>
      <c r="C44" s="1">
        <v>0</v>
      </c>
      <c r="D44" s="1" t="s">
        <v>172</v>
      </c>
      <c r="E44" s="1">
        <v>6</v>
      </c>
      <c r="F44" s="2" t="s">
        <v>234</v>
      </c>
      <c r="G44" s="3" t="s">
        <v>244</v>
      </c>
      <c r="H44" s="1" t="s">
        <v>8</v>
      </c>
      <c r="I44" s="1" t="s">
        <v>21</v>
      </c>
      <c r="N44" t="str">
        <f t="shared" si="0"/>
        <v>INSERT INTO courses (Course_Code, Course_Desc, Sprint, Section, Credits, Start_Time, End_Time, Days_Taught, Instructor, ISBN_One_v10, ISBN_One_v13, ISBN_Two_v10, ISBN_Two_v13) VALUES ('PRO491', 'Enterprise Projects II', 0, '-', 6, TIME(STR_TO_DATE('1:00:00 PM','%h:%i:%s %p')), TIME(STR_TO_DATE('4:50:00 PM','%h:%i:%s %p')), 'MTWHF', 'Jayson Beagley', '', '', '', '');</v>
      </c>
    </row>
    <row r="45" spans="1:14" x14ac:dyDescent="0.25">
      <c r="A45" s="1" t="s">
        <v>102</v>
      </c>
      <c r="B45" t="s">
        <v>103</v>
      </c>
      <c r="C45" s="1">
        <v>0</v>
      </c>
      <c r="D45" s="1" t="s">
        <v>172</v>
      </c>
      <c r="E45" s="1">
        <v>6</v>
      </c>
      <c r="F45" s="2" t="s">
        <v>234</v>
      </c>
      <c r="G45" s="3" t="s">
        <v>244</v>
      </c>
      <c r="H45" s="1" t="s">
        <v>8</v>
      </c>
      <c r="I45" s="1" t="s">
        <v>21</v>
      </c>
      <c r="N45" t="str">
        <f t="shared" si="0"/>
        <v>INSERT INTO courses (Course_Code, Course_Desc, Sprint, Section, Credits, Start_Time, End_Time, Days_Taught, Instructor, ISBN_One_v10, ISBN_One_v13, ISBN_Two_v10, ISBN_Two_v13) VALUES ('PRO492', 'Enterprise Projects III', 0, '-', 6, TIME(STR_TO_DATE('1:00:00 PM','%h:%i:%s %p')), TIME(STR_TO_DATE('4:50:00 PM','%h:%i:%s %p')), 'MTWHF', 'Jayson Beagley', '', '', '', '');</v>
      </c>
    </row>
    <row r="46" spans="1:14" x14ac:dyDescent="0.25">
      <c r="A46" s="1" t="s">
        <v>102</v>
      </c>
      <c r="B46" t="s">
        <v>103</v>
      </c>
      <c r="C46" s="1">
        <v>0</v>
      </c>
      <c r="D46" s="1" t="s">
        <v>172</v>
      </c>
      <c r="E46" s="1">
        <v>6</v>
      </c>
      <c r="F46" s="2" t="s">
        <v>234</v>
      </c>
      <c r="G46" s="3" t="s">
        <v>244</v>
      </c>
      <c r="H46" s="1" t="s">
        <v>8</v>
      </c>
      <c r="I46" s="1" t="s">
        <v>21</v>
      </c>
      <c r="N46" t="str">
        <f t="shared" si="0"/>
        <v>INSERT INTO courses (Course_Code, Course_Desc, Sprint, Section, Credits, Start_Time, End_Time, Days_Taught, Instructor, ISBN_One_v10, ISBN_One_v13, ISBN_Two_v10, ISBN_Two_v13) VALUES ('PRO492', 'Enterprise Projects III', 0, '-', 6, TIME(STR_TO_DATE('1:00:00 PM','%h:%i:%s %p')), TIME(STR_TO_DATE('4:50:00 PM','%h:%i:%s %p')), 'MTWHF', 'Jayson Beagley', '', '', '', '');</v>
      </c>
    </row>
    <row r="47" spans="1:14" x14ac:dyDescent="0.25">
      <c r="A47" s="1" t="s">
        <v>104</v>
      </c>
      <c r="B47" t="s">
        <v>105</v>
      </c>
      <c r="C47" s="1">
        <v>0</v>
      </c>
      <c r="D47" s="1" t="s">
        <v>29</v>
      </c>
      <c r="E47" s="1">
        <v>4</v>
      </c>
      <c r="F47" s="2" t="s">
        <v>238</v>
      </c>
      <c r="G47" s="3" t="s">
        <v>237</v>
      </c>
      <c r="H47" s="1" t="s">
        <v>8</v>
      </c>
      <c r="I47" s="1" t="s">
        <v>24</v>
      </c>
      <c r="K47" t="s">
        <v>173</v>
      </c>
      <c r="N47" t="str">
        <f t="shared" si="0"/>
        <v>INSERT INTO courses (Course_Code, Course_Desc, Sprint, Section, Credits, Start_Time, End_Time, Days_Taught, Instructor, ISBN_One_v10, ISBN_One_v13, ISBN_Two_v10, ISBN_Two_v13) VALUES ('BIT120', 'Business &amp; Information Systems Practices', 0, 'A', 4, TIME(STR_TO_DATE('2:00:00 PM','%h:%i:%s %p')), TIME(STR_TO_DATE('2:50:00 PM','%h:%i:%s %p')), 'MTWHF', 'Jerry Pay', '', 'ISBN-13:9780073376905', '', '');</v>
      </c>
    </row>
    <row r="48" spans="1:14" x14ac:dyDescent="0.25">
      <c r="A48" s="1" t="s">
        <v>106</v>
      </c>
      <c r="B48" t="s">
        <v>107</v>
      </c>
      <c r="C48" s="1">
        <v>0</v>
      </c>
      <c r="D48" s="1" t="s">
        <v>172</v>
      </c>
      <c r="E48" s="1">
        <v>4</v>
      </c>
      <c r="F48" s="2" t="s">
        <v>238</v>
      </c>
      <c r="G48" s="3" t="s">
        <v>237</v>
      </c>
      <c r="H48" s="1" t="s">
        <v>8</v>
      </c>
      <c r="I48" s="1" t="s">
        <v>27</v>
      </c>
      <c r="N48" t="str">
        <f t="shared" si="0"/>
        <v>INSERT INTO courses (Course_Code, Course_Desc, Sprint, Section, Credits, Start_Time, End_Time, Days_Taught, Instructor, ISBN_One_v10, ISBN_One_v13, ISBN_Two_v10, ISBN_Two_v13) VALUES ('MTM370', 'Front-End Implementation', 0, '-', 4, TIME(STR_TO_DATE('2:00:00 PM','%h:%i:%s %p')), TIME(STR_TO_DATE('2:50:00 PM','%h:%i:%s %p')), 'MTWHF', 'Tom Beatty', '', '', '', '');</v>
      </c>
    </row>
    <row r="49" spans="1:14" x14ac:dyDescent="0.25">
      <c r="A49" s="1" t="s">
        <v>65</v>
      </c>
      <c r="B49" t="s">
        <v>66</v>
      </c>
      <c r="C49" s="1">
        <v>0</v>
      </c>
      <c r="D49" s="1" t="s">
        <v>108</v>
      </c>
      <c r="E49" s="1">
        <v>3</v>
      </c>
      <c r="F49" s="2" t="s">
        <v>239</v>
      </c>
      <c r="G49" s="3" t="s">
        <v>240</v>
      </c>
      <c r="H49" s="1" t="s">
        <v>64</v>
      </c>
      <c r="I49" s="1" t="s">
        <v>67</v>
      </c>
      <c r="N49" t="str">
        <f t="shared" si="0"/>
        <v>INSERT INTO courses (Course_Code, Course_Desc, Sprint, Section, Credits, Start_Time, End_Time, Days_Taught, Instructor, ISBN_One_v10, ISBN_One_v13, ISBN_Two_v10, ISBN_Two_v13) VALUES ('FAC120', 'Spoken Communications', 0, 'E', 3, TIME(STR_TO_DATE('2:30:00 PM','%h:%i:%s %p')), TIME(STR_TO_DATE('3:20:00 PM','%h:%i:%s %p')), 'MTWH', 'Jeremiah Harrison', '', '', '', '');</v>
      </c>
    </row>
    <row r="50" spans="1:14" x14ac:dyDescent="0.25">
      <c r="A50" s="1" t="s">
        <v>109</v>
      </c>
      <c r="B50" t="s">
        <v>110</v>
      </c>
      <c r="C50" s="1">
        <v>0</v>
      </c>
      <c r="D50" s="1" t="s">
        <v>172</v>
      </c>
      <c r="E50" s="1">
        <v>3</v>
      </c>
      <c r="F50" s="2" t="s">
        <v>239</v>
      </c>
      <c r="G50" s="3" t="s">
        <v>240</v>
      </c>
      <c r="H50" s="1" t="s">
        <v>31</v>
      </c>
      <c r="I50" s="1" t="s">
        <v>73</v>
      </c>
      <c r="J50" t="s">
        <v>205</v>
      </c>
      <c r="K50" t="s">
        <v>206</v>
      </c>
      <c r="N50" t="str">
        <f t="shared" si="0"/>
        <v>INSERT INTO courses (Course_Code, Course_Desc, Sprint, Section, Credits, Start_Time, End_Time, Days_Taught, Instructor, ISBN_One_v10, ISBN_One_v13, ISBN_Two_v10, ISBN_Two_v13) VALUES ('MAT260', 'Statistics', 0, '-', 3, TIME(STR_TO_DATE('2:30:00 PM','%h:%i:%s %p')), TIME(STR_TO_DATE('3:20:00 PM','%h:%i:%s %p')), 'TWHF', 'Eric Kohler', 'ISBN-10:0077567668', 'ISBN-13:9780077567668', '', '');</v>
      </c>
    </row>
    <row r="51" spans="1:14" x14ac:dyDescent="0.25">
      <c r="A51" s="1" t="s">
        <v>104</v>
      </c>
      <c r="B51" t="s">
        <v>105</v>
      </c>
      <c r="C51" s="1">
        <v>0</v>
      </c>
      <c r="D51" s="1" t="s">
        <v>53</v>
      </c>
      <c r="E51" s="1">
        <v>4</v>
      </c>
      <c r="F51" s="2" t="s">
        <v>241</v>
      </c>
      <c r="G51" s="3" t="s">
        <v>242</v>
      </c>
      <c r="H51" s="1" t="s">
        <v>8</v>
      </c>
      <c r="I51" s="1" t="s">
        <v>111</v>
      </c>
      <c r="K51" t="s">
        <v>173</v>
      </c>
      <c r="N51" t="str">
        <f t="shared" si="0"/>
        <v>INSERT INTO courses (Course_Code, Course_Desc, Sprint, Section, Credits, Start_Time, End_Time, Days_Taught, Instructor, ISBN_One_v10, ISBN_One_v13, ISBN_Two_v10, ISBN_Two_v13) VALUES ('BIT120', 'Business &amp; Information Systems Practices', 0, 'B', 4, TIME(STR_TO_DATE('3:00:00 PM','%h:%i:%s %p')), TIME(STR_TO_DATE('3:50:00 PM','%h:%i:%s %p')), 'MTWHF', 'Andrew Nielsen', '', 'ISBN-13:9780073376905', '', '');</v>
      </c>
    </row>
    <row r="52" spans="1:14" x14ac:dyDescent="0.25">
      <c r="A52" s="1" t="s">
        <v>52</v>
      </c>
      <c r="B52" t="s">
        <v>54</v>
      </c>
      <c r="C52" s="1">
        <v>0</v>
      </c>
      <c r="D52" s="1" t="s">
        <v>87</v>
      </c>
      <c r="E52" s="1">
        <v>6</v>
      </c>
      <c r="F52" s="2" t="s">
        <v>241</v>
      </c>
      <c r="G52" s="3" t="s">
        <v>244</v>
      </c>
      <c r="H52" s="1" t="s">
        <v>8</v>
      </c>
      <c r="I52" s="1" t="s">
        <v>86</v>
      </c>
      <c r="J52" t="s">
        <v>183</v>
      </c>
      <c r="N52" t="str">
        <f t="shared" si="0"/>
        <v>INSERT INTO courses (Course_Code, Course_Desc, Sprint, Section, Credits, Start_Time, End_Time, Days_Taught, Instructor, ISBN_One_v10, ISBN_One_v13, ISBN_Two_v10, ISBN_Two_v13) VALUES ('CSC150', 'Object Oriented Programming and Design', 0, 'D', 6, TIME(STR_TO_DATE('3:00:00 PM','%h:%i:%s %p')), TIME(STR_TO_DATE('4:50:00 PM','%h:%i:%s %p')), 'MTWHF', 'Robert Lamb', 'ISBN-10:0133370461', '', '', '');</v>
      </c>
    </row>
    <row r="53" spans="1:14" x14ac:dyDescent="0.25">
      <c r="A53" s="1" t="s">
        <v>52</v>
      </c>
      <c r="B53" t="s">
        <v>54</v>
      </c>
      <c r="C53" s="1">
        <v>0</v>
      </c>
      <c r="D53" s="1" t="s">
        <v>108</v>
      </c>
      <c r="E53" s="1">
        <v>6</v>
      </c>
      <c r="F53" s="2" t="s">
        <v>241</v>
      </c>
      <c r="G53" s="3" t="s">
        <v>244</v>
      </c>
      <c r="H53" s="1" t="s">
        <v>8</v>
      </c>
      <c r="I53" s="1" t="s">
        <v>9</v>
      </c>
      <c r="J53" t="s">
        <v>183</v>
      </c>
      <c r="N53" t="str">
        <f t="shared" si="0"/>
        <v>INSERT INTO courses (Course_Code, Course_Desc, Sprint, Section, Credits, Start_Time, End_Time, Days_Taught, Instructor, ISBN_One_v10, ISBN_One_v13, ISBN_Two_v10, ISBN_Two_v13) VALUES ('CSC150', 'Object Oriented Programming and Design', 0, 'E', 6, TIME(STR_TO_DATE('3:00:00 PM','%h:%i:%s %p')), TIME(STR_TO_DATE('4:50:00 PM','%h:%i:%s %p')), 'MTWHF', 'Steve Halladay', 'ISBN-10:0133370461', '', '', '');</v>
      </c>
    </row>
    <row r="54" spans="1:14" x14ac:dyDescent="0.25">
      <c r="A54" s="1" t="s">
        <v>74</v>
      </c>
      <c r="B54" t="s">
        <v>75</v>
      </c>
      <c r="C54" s="1">
        <v>0</v>
      </c>
      <c r="D54" s="1" t="s">
        <v>53</v>
      </c>
      <c r="E54" s="1">
        <v>4</v>
      </c>
      <c r="F54" s="2" t="s">
        <v>241</v>
      </c>
      <c r="G54" s="3" t="s">
        <v>242</v>
      </c>
      <c r="H54" s="1" t="s">
        <v>8</v>
      </c>
      <c r="I54" s="1" t="s">
        <v>15</v>
      </c>
      <c r="J54" t="s">
        <v>193</v>
      </c>
      <c r="K54" t="s">
        <v>194</v>
      </c>
      <c r="L54" t="s">
        <v>195</v>
      </c>
      <c r="M54" t="s">
        <v>196</v>
      </c>
      <c r="N54" t="str">
        <f t="shared" si="0"/>
        <v>INSERT INTO courses (Course_Code, Course_Desc, Sprint, Section, Credits, Start_Time, End_Time, Days_Taught, Instructor, ISBN_One_v10, ISBN_One_v13, ISBN_Two_v10, ISBN_Two_v13) VALUES ('CSC280', 'Developing Scalable Web Applications', 0, 'B', 4, TIME(STR_TO_DATE('3:00:00 PM','%h:%i:%s %p')), TIME(STR_TO_DATE('3:50:00 PM','%h:%i:%s %p')), 'MTWHF', 'Ron Price', 'ISBN-10:0596516681', 'ISBN-13:9780596516680', 'ISBN-10:1430219564', 'ISBN-13:9781430219569');</v>
      </c>
    </row>
    <row r="55" spans="1:14" x14ac:dyDescent="0.25">
      <c r="A55" s="1" t="s">
        <v>112</v>
      </c>
      <c r="B55" t="s">
        <v>113</v>
      </c>
      <c r="C55" s="1">
        <v>1</v>
      </c>
      <c r="D55" s="1">
        <v>1</v>
      </c>
      <c r="E55" s="1">
        <v>3</v>
      </c>
      <c r="F55" s="2" t="s">
        <v>243</v>
      </c>
      <c r="G55" s="3" t="s">
        <v>244</v>
      </c>
      <c r="H55" s="1" t="s">
        <v>8</v>
      </c>
      <c r="I55" s="1" t="s">
        <v>70</v>
      </c>
      <c r="J55" t="s">
        <v>175</v>
      </c>
      <c r="K55" t="s">
        <v>176</v>
      </c>
      <c r="N55" t="str">
        <f t="shared" si="0"/>
        <v>INSERT INTO courses (Course_Code, Course_Desc, Sprint, Section, Credits, Start_Time, End_Time, Days_Taught, Instructor, ISBN_One_v10, ISBN_One_v13, ISBN_Two_v10, ISBN_Two_v13) VALUES ('BIT228', 'Server Administration III: Web', 1, '1', 3, TIME(STR_TO_DATE('3:30:00 PM','%h:%i:%s %p')), TIME(STR_TO_DATE('4:50:00 PM','%h:%i:%s %p')), 'MTWHF', 'Kerry Cox', 'ISBN-10:1118388046', 'ISBN-13:9781118388044', '', '');</v>
      </c>
    </row>
    <row r="56" spans="1:14" x14ac:dyDescent="0.25">
      <c r="A56" s="1" t="s">
        <v>114</v>
      </c>
      <c r="B56" t="s">
        <v>115</v>
      </c>
      <c r="C56" s="1">
        <v>0</v>
      </c>
      <c r="D56" s="1" t="s">
        <v>172</v>
      </c>
      <c r="E56" s="1">
        <v>4</v>
      </c>
      <c r="F56" s="2" t="s">
        <v>243</v>
      </c>
      <c r="G56" s="3" t="s">
        <v>245</v>
      </c>
      <c r="H56" s="1" t="s">
        <v>8</v>
      </c>
      <c r="I56" s="1" t="s">
        <v>38</v>
      </c>
      <c r="N56" t="str">
        <f t="shared" si="0"/>
        <v>INSERT INTO courses (Course_Code, Course_Desc, Sprint, Section, Credits, Start_Time, End_Time, Days_Taught, Instructor, ISBN_One_v10, ISBN_One_v13, ISBN_Two_v10, ISBN_Two_v13) VALUES ('ENG110', 'Introduction to English Composition', 0, '-', 4, TIME(STR_TO_DATE('3:30:00 PM','%h:%i:%s %p')), TIME(STR_TO_DATE('4:20:00 PM','%h:%i:%s %p')), 'MTWHF', 'Brandon Berrett', '', '', '', '');</v>
      </c>
    </row>
    <row r="57" spans="1:14" x14ac:dyDescent="0.25">
      <c r="A57" s="1" t="s">
        <v>104</v>
      </c>
      <c r="B57" t="s">
        <v>105</v>
      </c>
      <c r="C57" s="1">
        <v>0</v>
      </c>
      <c r="D57" s="1" t="s">
        <v>87</v>
      </c>
      <c r="E57" s="1">
        <v>4</v>
      </c>
      <c r="F57" s="2" t="s">
        <v>248</v>
      </c>
      <c r="G57" s="3" t="s">
        <v>249</v>
      </c>
      <c r="H57" s="1" t="s">
        <v>8</v>
      </c>
      <c r="I57" s="1" t="s">
        <v>111</v>
      </c>
      <c r="K57" t="s">
        <v>173</v>
      </c>
      <c r="N57" t="str">
        <f t="shared" si="0"/>
        <v>INSERT INTO courses (Course_Code, Course_Desc, Sprint, Section, Credits, Start_Time, End_Time, Days_Taught, Instructor, ISBN_One_v10, ISBN_One_v13, ISBN_Two_v10, ISBN_Two_v13) VALUES ('BIT120', 'Business &amp; Information Systems Practices', 0, 'D', 4, TIME(STR_TO_DATE('5:00:00 PM','%h:%i:%s %p')), TIME(STR_TO_DATE('5:50:00 PM','%h:%i:%s %p')), 'MTWHF', 'Andrew Nielsen', '', 'ISBN-13:9780073376905', '', '');</v>
      </c>
    </row>
    <row r="58" spans="1:14" x14ac:dyDescent="0.25">
      <c r="A58" s="1" t="s">
        <v>116</v>
      </c>
      <c r="B58" t="s">
        <v>117</v>
      </c>
      <c r="C58" s="1">
        <v>1</v>
      </c>
      <c r="D58" s="1">
        <v>1</v>
      </c>
      <c r="E58" s="1">
        <v>2</v>
      </c>
      <c r="F58" s="2" t="s">
        <v>248</v>
      </c>
      <c r="G58" s="3" t="s">
        <v>255</v>
      </c>
      <c r="H58" s="1" t="s">
        <v>118</v>
      </c>
      <c r="I58" s="1" t="s">
        <v>119</v>
      </c>
      <c r="J58" t="s">
        <v>180</v>
      </c>
      <c r="K58" t="s">
        <v>181</v>
      </c>
      <c r="N58" t="str">
        <f t="shared" si="0"/>
        <v>INSERT INTO courses (Course_Code, Course_Desc, Sprint, Section, Credits, Start_Time, End_Time, Days_Taught, Instructor, ISBN_One_v10, ISBN_One_v13, ISBN_Two_v10, ISBN_Two_v13) VALUES ('BIT350', 'Virtualization Technology and Administration', 1, '1', 2, TIME(STR_TO_DATE('5:00:00 PM','%h:%i:%s %p')), TIME(STR_TO_DATE('7:20:00 PM','%h:%i:%s %p')), 'TH', 'Tyler Baxter', 'ISBN-10:0789749319', 'ISBN-13:9780789749314', '', '');</v>
      </c>
    </row>
    <row r="59" spans="1:14" x14ac:dyDescent="0.25">
      <c r="A59" s="1" t="s">
        <v>120</v>
      </c>
      <c r="B59" t="s">
        <v>121</v>
      </c>
      <c r="C59" s="1">
        <v>1</v>
      </c>
      <c r="D59" s="1">
        <v>1</v>
      </c>
      <c r="E59" s="1">
        <v>3</v>
      </c>
      <c r="F59" s="2" t="s">
        <v>250</v>
      </c>
      <c r="G59" s="3" t="s">
        <v>252</v>
      </c>
      <c r="H59" s="1" t="s">
        <v>8</v>
      </c>
      <c r="I59" s="1" t="s">
        <v>122</v>
      </c>
      <c r="N59" t="str">
        <f t="shared" si="0"/>
        <v>INSERT INTO courses (Course_Code, Course_Desc, Sprint, Section, Credits, Start_Time, End_Time, Days_Taught, Instructor, ISBN_One_v10, ISBN_One_v13, ISBN_Two_v10, ISBN_Two_v13) VALUES ('GAT180', 'Mobile Game Development', 1, '1', 3, TIME(STR_TO_DATE('5:30:00 PM','%h:%i:%s %p')), TIME(STR_TO_DATE('6:50:00 PM','%h:%i:%s %p')), 'MTWHF', 'Colter Cvach', '', '', '', '');</v>
      </c>
    </row>
    <row r="60" spans="1:14" x14ac:dyDescent="0.25">
      <c r="A60" s="1" t="s">
        <v>123</v>
      </c>
      <c r="B60" t="s">
        <v>124</v>
      </c>
      <c r="C60" s="1">
        <v>1</v>
      </c>
      <c r="D60" s="1">
        <v>1</v>
      </c>
      <c r="E60" s="1">
        <v>2</v>
      </c>
      <c r="F60" s="2" t="s">
        <v>250</v>
      </c>
      <c r="G60" s="3" t="s">
        <v>253</v>
      </c>
      <c r="H60" s="1" t="s">
        <v>64</v>
      </c>
      <c r="I60" s="1" t="s">
        <v>125</v>
      </c>
      <c r="N60" t="str">
        <f t="shared" si="0"/>
        <v>INSERT INTO courses (Course_Code, Course_Desc, Sprint, Section, Credits, Start_Time, End_Time, Days_Taught, Instructor, ISBN_One_v10, ISBN_One_v13, ISBN_Two_v10, ISBN_Two_v13) VALUES ('HPE170', 'Healthy Living', 1, '1', 2, TIME(STR_TO_DATE('5:30:00 PM','%h:%i:%s %p')), TIME(STR_TO_DATE('6:40:00 PM','%h:%i:%s %p')), 'MTWH', 'Phil Park', '', '', '', '');</v>
      </c>
    </row>
    <row r="61" spans="1:14" x14ac:dyDescent="0.25">
      <c r="A61" s="1" t="s">
        <v>104</v>
      </c>
      <c r="B61" t="s">
        <v>105</v>
      </c>
      <c r="C61" s="1">
        <v>0</v>
      </c>
      <c r="D61" s="1" t="s">
        <v>108</v>
      </c>
      <c r="E61" s="1">
        <v>4</v>
      </c>
      <c r="F61" s="2" t="s">
        <v>254</v>
      </c>
      <c r="G61" s="3" t="s">
        <v>252</v>
      </c>
      <c r="H61" s="1" t="s">
        <v>8</v>
      </c>
      <c r="I61" s="1" t="s">
        <v>111</v>
      </c>
      <c r="K61" t="s">
        <v>173</v>
      </c>
      <c r="N61" t="str">
        <f t="shared" si="0"/>
        <v>INSERT INTO courses (Course_Code, Course_Desc, Sprint, Section, Credits, Start_Time, End_Time, Days_Taught, Instructor, ISBN_One_v10, ISBN_One_v13, ISBN_Two_v10, ISBN_Two_v13) VALUES ('BIT120', 'Business &amp; Information Systems Practices', 0, 'E', 4, TIME(STR_TO_DATE('6:00:00 PM','%h:%i:%s %p')), TIME(STR_TO_DATE('6:50:00 PM','%h:%i:%s %p')), 'MTWHF', 'Andrew Nielsen', '', 'ISBN-13:9780073376905', '', '');</v>
      </c>
    </row>
    <row r="62" spans="1:14" x14ac:dyDescent="0.25">
      <c r="A62" s="1" t="s">
        <v>126</v>
      </c>
      <c r="B62" t="s">
        <v>127</v>
      </c>
      <c r="C62" s="1">
        <v>0</v>
      </c>
      <c r="D62" s="1" t="s">
        <v>172</v>
      </c>
      <c r="E62" s="1">
        <v>4</v>
      </c>
      <c r="F62" s="2" t="s">
        <v>254</v>
      </c>
      <c r="G62" s="3" t="s">
        <v>256</v>
      </c>
      <c r="H62" s="1" t="s">
        <v>128</v>
      </c>
      <c r="I62" s="1" t="s">
        <v>129</v>
      </c>
      <c r="K62" t="s">
        <v>184</v>
      </c>
      <c r="N62" t="str">
        <f t="shared" si="0"/>
        <v>INSERT INTO courses (Course_Code, Course_Desc, Sprint, Section, Credits, Start_Time, End_Time, Days_Taught, Instructor, ISBN_One_v10, ISBN_One_v13, ISBN_Two_v10, ISBN_Two_v13) VALUES ('CSC160', 'Application Development', 0, '-', 4, TIME(STR_TO_DATE('6:00:00 PM','%h:%i:%s %p')), TIME(STR_TO_DATE('7:30:00 PM','%h:%i:%s %p')), 'MWH', 'Jeff Christensen', '', 'ISBN-13:9781430242345', '', '');</v>
      </c>
    </row>
    <row r="63" spans="1:14" x14ac:dyDescent="0.25">
      <c r="A63" s="1" t="s">
        <v>130</v>
      </c>
      <c r="B63" t="s">
        <v>131</v>
      </c>
      <c r="C63" s="1">
        <v>2</v>
      </c>
      <c r="D63" s="1" t="s">
        <v>29</v>
      </c>
      <c r="E63" s="1">
        <v>2</v>
      </c>
      <c r="F63" s="2" t="s">
        <v>219</v>
      </c>
      <c r="G63" s="3" t="s">
        <v>224</v>
      </c>
      <c r="H63" s="1" t="s">
        <v>8</v>
      </c>
      <c r="I63" s="1" t="s">
        <v>15</v>
      </c>
      <c r="N63" t="str">
        <f t="shared" si="0"/>
        <v>INSERT INTO courses (Course_Code, Course_Desc, Sprint, Section, Credits, Start_Time, End_Time, Days_Taught, Instructor, ISBN_One_v10, ISBN_One_v13, ISBN_Two_v10, ISBN_Two_v13) VALUES ('PRO280', 'Scalable Web Applications Lab', 2, 'A', 2, TIME(STR_TO_DATE('7:30:00 AM','%h:%i:%s %p')), TIME(STR_TO_DATE('9:20:00 AM','%h:%i:%s %p')), 'MTWHF', 'Ron Price', '', '', '', '');</v>
      </c>
    </row>
    <row r="64" spans="1:14" x14ac:dyDescent="0.25">
      <c r="A64" s="1" t="s">
        <v>39</v>
      </c>
      <c r="B64" t="s">
        <v>40</v>
      </c>
      <c r="C64" s="1">
        <v>2</v>
      </c>
      <c r="D64" s="1" t="s">
        <v>29</v>
      </c>
      <c r="E64" s="1">
        <v>2</v>
      </c>
      <c r="F64" s="2" t="s">
        <v>220</v>
      </c>
      <c r="G64" s="3" t="s">
        <v>221</v>
      </c>
      <c r="H64" s="1" t="s">
        <v>8</v>
      </c>
      <c r="I64" s="1" t="s">
        <v>41</v>
      </c>
      <c r="N64" t="str">
        <f t="shared" si="0"/>
        <v>INSERT INTO courses (Course_Code, Course_Desc, Sprint, Section, Credits, Start_Time, End_Time, Days_Taught, Instructor, ISBN_One_v10, ISBN_One_v13, ISBN_Two_v10, ISBN_Two_v13) VALUES ('FAC101', 'Art Appreciation', 2, 'A', 2, TIME(STR_TO_DATE('8:00:00 AM','%h:%i:%s %p')), TIME(STR_TO_DATE('8:50:00 AM','%h:%i:%s %p')), 'MTWHF', 'Timothy Parker', '', '', '', '');</v>
      </c>
    </row>
    <row r="65" spans="1:14" x14ac:dyDescent="0.25">
      <c r="A65" s="1" t="s">
        <v>132</v>
      </c>
      <c r="B65" t="s">
        <v>133</v>
      </c>
      <c r="C65" s="1">
        <v>2</v>
      </c>
      <c r="D65" s="1">
        <v>2</v>
      </c>
      <c r="E65" s="1">
        <v>2</v>
      </c>
      <c r="F65" s="2" t="s">
        <v>220</v>
      </c>
      <c r="G65" s="3" t="s">
        <v>222</v>
      </c>
      <c r="H65" s="1" t="s">
        <v>8</v>
      </c>
      <c r="I65" s="1" t="s">
        <v>24</v>
      </c>
      <c r="N65" t="str">
        <f t="shared" si="0"/>
        <v>INSERT INTO courses (Course_Code, Course_Desc, Sprint, Section, Credits, Start_Time, End_Time, Days_Taught, Instructor, ISBN_One_v10, ISBN_One_v13, ISBN_Two_v10, ISBN_Two_v13) VALUES ('PRO301', 'Project Management in Practice', 2, '2', 2, TIME(STR_TO_DATE('8:00:00 AM','%h:%i:%s %p')), TIME(STR_TO_DATE('9:50:00 AM','%h:%i:%s %p')), 'MTWHF', 'Jerry Pay', '', '', '', '');</v>
      </c>
    </row>
    <row r="66" spans="1:14" x14ac:dyDescent="0.25">
      <c r="A66" s="1" t="s">
        <v>60</v>
      </c>
      <c r="B66" t="s">
        <v>61</v>
      </c>
      <c r="C66" s="1">
        <v>2</v>
      </c>
      <c r="D66" s="1" t="s">
        <v>216</v>
      </c>
      <c r="E66" s="1">
        <v>2</v>
      </c>
      <c r="F66" s="2" t="s">
        <v>223</v>
      </c>
      <c r="G66" s="3" t="s">
        <v>222</v>
      </c>
      <c r="H66" s="1" t="s">
        <v>8</v>
      </c>
      <c r="I66" s="1" t="s">
        <v>27</v>
      </c>
      <c r="K66" t="s">
        <v>187</v>
      </c>
      <c r="L66" t="s">
        <v>188</v>
      </c>
      <c r="M66" t="s">
        <v>189</v>
      </c>
      <c r="N66" t="str">
        <f t="shared" si="0"/>
        <v>INSERT INTO courses (Course_Code, Course_Desc, Sprint, Section, Credits, Start_Time, End_Time, Days_Taught, Instructor, ISBN_One_v10, ISBN_One_v13, ISBN_Two_v10, ISBN_Two_v13) VALUES ('CSC210', 'Introduction to Web Presentation and Development', 2, 'F', 2, TIME(STR_TO_DATE('9:00:00 AM','%h:%i:%s %p')), TIME(STR_TO_DATE('9:50:00 AM','%h:%i:%s %p')), 'MTWHF', 'Tom Beatty', '', 'ISBN-13:9781118531648', 'ISBN-10:1118008189', 'ISBN-13:9781118008188');</v>
      </c>
    </row>
    <row r="67" spans="1:14" x14ac:dyDescent="0.25">
      <c r="A67" s="1" t="s">
        <v>88</v>
      </c>
      <c r="B67" t="s">
        <v>89</v>
      </c>
      <c r="C67" s="1">
        <v>2</v>
      </c>
      <c r="D67" s="1" t="s">
        <v>29</v>
      </c>
      <c r="E67" s="1">
        <v>2</v>
      </c>
      <c r="F67" s="2" t="s">
        <v>223</v>
      </c>
      <c r="G67" s="3" t="s">
        <v>222</v>
      </c>
      <c r="H67" s="1" t="s">
        <v>8</v>
      </c>
      <c r="I67" s="1" t="s">
        <v>38</v>
      </c>
      <c r="N67" t="str">
        <f t="shared" ref="N67:N87" si="1">GenerateCourseDataScript($A67,$B67,$C67,$D67,$E67,$F67,$G67,$H67,$I67,$J67,$K67,$L67,$M67)</f>
        <v>INSERT INTO courses (Course_Code, Course_Desc, Sprint, Section, Credits, Start_Time, End_Time, Days_Taught, Instructor, ISBN_One_v10, ISBN_One_v13, ISBN_Two_v10, ISBN_Two_v13) VALUES ('HUM200', 'The Imagination of Horror in Media', 2, 'A', 2, TIME(STR_TO_DATE('9:00:00 AM','%h:%i:%s %p')), TIME(STR_TO_DATE('9:50:00 AM','%h:%i:%s %p')), 'MTWHF', 'Brandon Berrett', '', '', '', '');</v>
      </c>
    </row>
    <row r="68" spans="1:14" x14ac:dyDescent="0.25">
      <c r="A68" s="1" t="s">
        <v>134</v>
      </c>
      <c r="B68" t="s">
        <v>135</v>
      </c>
      <c r="C68" s="1">
        <v>2</v>
      </c>
      <c r="D68" s="1">
        <v>2</v>
      </c>
      <c r="E68" s="1">
        <v>2</v>
      </c>
      <c r="F68" s="2" t="s">
        <v>223</v>
      </c>
      <c r="G68" s="3" t="s">
        <v>222</v>
      </c>
      <c r="H68" s="1" t="s">
        <v>8</v>
      </c>
      <c r="I68" s="1" t="s">
        <v>41</v>
      </c>
      <c r="N68" t="str">
        <f t="shared" si="1"/>
        <v>INSERT INTO courses (Course_Code, Course_Desc, Sprint, Section, Credits, Start_Time, End_Time, Days_Taught, Instructor, ISBN_One_v10, ISBN_One_v13, ISBN_Two_v10, ISBN_Two_v13) VALUES ('MTM410', 'Digital Portfolio', 2, '2', 2, TIME(STR_TO_DATE('9:00:00 AM','%h:%i:%s %p')), TIME(STR_TO_DATE('9:50:00 AM','%h:%i:%s %p')), 'MTWHF', 'Timothy Parker', '', '', '', '');</v>
      </c>
    </row>
    <row r="69" spans="1:14" x14ac:dyDescent="0.25">
      <c r="A69" s="1" t="s">
        <v>136</v>
      </c>
      <c r="B69" t="s">
        <v>137</v>
      </c>
      <c r="C69" s="1">
        <v>2</v>
      </c>
      <c r="D69" s="1" t="s">
        <v>215</v>
      </c>
      <c r="E69" s="1">
        <v>2</v>
      </c>
      <c r="F69" s="2" t="s">
        <v>223</v>
      </c>
      <c r="G69" s="3" t="s">
        <v>229</v>
      </c>
      <c r="H69" s="1" t="s">
        <v>8</v>
      </c>
      <c r="I69" s="1" t="s">
        <v>12</v>
      </c>
      <c r="J69" t="s">
        <v>209</v>
      </c>
      <c r="K69" t="s">
        <v>210</v>
      </c>
      <c r="N69" t="str">
        <f t="shared" si="1"/>
        <v>INSERT INTO courses (Course_Code, Course_Desc, Sprint, Section, Credits, Start_Time, End_Time, Days_Taught, Instructor, ISBN_One_v10, ISBN_One_v13, ISBN_Two_v10, ISBN_Two_v13) VALUES ('PRO470', 'Project Management Project', 2, 'M', 2, TIME(STR_TO_DATE('9:00:00 AM','%h:%i:%s %p')), TIME(STR_TO_DATE('10:50:00 AM','%h:%i:%s %p')), 'MTWHF', 'John Kane', 'ISBN-10:1935589679', 'ISBN-13:9781935589679', '', '');</v>
      </c>
    </row>
    <row r="70" spans="1:14" x14ac:dyDescent="0.25">
      <c r="A70" s="1" t="s">
        <v>138</v>
      </c>
      <c r="B70" t="s">
        <v>139</v>
      </c>
      <c r="C70" s="1">
        <v>2</v>
      </c>
      <c r="D70" s="1" t="s">
        <v>29</v>
      </c>
      <c r="E70" s="1">
        <v>2</v>
      </c>
      <c r="F70" s="2" t="s">
        <v>223</v>
      </c>
      <c r="G70" s="3" t="s">
        <v>222</v>
      </c>
      <c r="H70" s="1" t="s">
        <v>8</v>
      </c>
      <c r="I70" s="1" t="s">
        <v>32</v>
      </c>
      <c r="N70" t="str">
        <f t="shared" si="1"/>
        <v>INSERT INTO courses (Course_Code, Course_Desc, Sprint, Section, Credits, Start_Time, End_Time, Days_Taught, Instructor, ISBN_One_v10, ISBN_One_v13, ISBN_Two_v10, ISBN_Two_v13) VALUES ('PSC226', 'Introductory Physics', 2, 'A', 2, TIME(STR_TO_DATE('9:00:00 AM','%h:%i:%s %p')), TIME(STR_TO_DATE('9:50:00 AM','%h:%i:%s %p')), 'MTWHF', 'Mark Herrera', '', '', '', '');</v>
      </c>
    </row>
    <row r="71" spans="1:14" x14ac:dyDescent="0.25">
      <c r="A71" s="1" t="s">
        <v>45</v>
      </c>
      <c r="B71" t="s">
        <v>46</v>
      </c>
      <c r="C71" s="1">
        <v>2</v>
      </c>
      <c r="D71" s="1" t="s">
        <v>108</v>
      </c>
      <c r="E71" s="1">
        <v>2</v>
      </c>
      <c r="F71" s="2" t="s">
        <v>225</v>
      </c>
      <c r="G71" s="3" t="s">
        <v>232</v>
      </c>
      <c r="H71" s="1" t="s">
        <v>47</v>
      </c>
      <c r="I71" s="1" t="s">
        <v>48</v>
      </c>
      <c r="K71" t="s">
        <v>198</v>
      </c>
      <c r="N71" t="str">
        <f t="shared" si="1"/>
        <v>INSERT INTO courses (Course_Code, Course_Desc, Sprint, Section, Credits, Start_Time, End_Time, Days_Taught, Instructor, ISBN_One_v10, ISBN_One_v13, ISBN_Two_v10, ISBN_Two_v13) VALUES ('ITH215', 'Networking I', 2, 'E', 2, TIME(STR_TO_DATE('9:30:00 AM','%h:%i:%s %p')), TIME(STR_TO_DATE('11:00:00 AM','%h:%i:%s %p')), 'MTW', 'Ben Fletcher', '', 'ISBN-13:9781587143854', '', '');</v>
      </c>
    </row>
    <row r="72" spans="1:14" x14ac:dyDescent="0.25">
      <c r="A72" s="1" t="s">
        <v>140</v>
      </c>
      <c r="B72" t="s">
        <v>141</v>
      </c>
      <c r="C72" s="1">
        <v>2</v>
      </c>
      <c r="D72" s="1">
        <v>2</v>
      </c>
      <c r="E72" s="1">
        <v>4</v>
      </c>
      <c r="F72" s="2" t="s">
        <v>228</v>
      </c>
      <c r="G72" s="3" t="s">
        <v>230</v>
      </c>
      <c r="H72" s="1" t="s">
        <v>8</v>
      </c>
      <c r="I72" s="1" t="s">
        <v>24</v>
      </c>
      <c r="K72" t="s">
        <v>182</v>
      </c>
      <c r="N72" t="str">
        <f t="shared" si="1"/>
        <v>INSERT INTO courses (Course_Code, Course_Desc, Sprint, Section, Credits, Start_Time, End_Time, Days_Taught, Instructor, ISBN_One_v10, ISBN_One_v13, ISBN_Two_v10, ISBN_Two_v13) VALUES ('BUS355', 'Applied Business Systems &amp; Practices', 2, '2', 4, TIME(STR_TO_DATE('10:00:00 AM','%h:%i:%s %p')), TIME(STR_TO_DATE('11:50:00 AM','%h:%i:%s %p')), 'MTWHF', 'Jerry Pay', '', 'ISBN-13:9780133051056', '', '');</v>
      </c>
    </row>
    <row r="73" spans="1:14" x14ac:dyDescent="0.25">
      <c r="A73" s="1" t="s">
        <v>142</v>
      </c>
      <c r="B73" t="s">
        <v>143</v>
      </c>
      <c r="C73" s="1">
        <v>2</v>
      </c>
      <c r="D73" s="1">
        <v>2</v>
      </c>
      <c r="E73" s="1">
        <v>3</v>
      </c>
      <c r="F73" s="2" t="s">
        <v>228</v>
      </c>
      <c r="G73" s="3" t="s">
        <v>231</v>
      </c>
      <c r="H73" s="1" t="s">
        <v>8</v>
      </c>
      <c r="I73" s="1" t="s">
        <v>73</v>
      </c>
      <c r="J73" t="s">
        <v>201</v>
      </c>
      <c r="K73" t="s">
        <v>202</v>
      </c>
      <c r="N73" t="str">
        <f t="shared" si="1"/>
        <v>INSERT INTO courses (Course_Code, Course_Desc, Sprint, Section, Credits, Start_Time, End_Time, Days_Taught, Instructor, ISBN_One_v10, ISBN_One_v13, ISBN_Two_v10, ISBN_Two_v13) VALUES ('MAT105', 'College Algebra', 2, '2', 3, TIME(STR_TO_DATE('10:00:00 AM','%h:%i:%s %p')), TIME(STR_TO_DATE('11:20:00 AM','%h:%i:%s %p')), 'MTWHF', 'Eric Kohler', 'ISBN-10:0321758951', 'ISBN-13:9780321758958', '', '');</v>
      </c>
    </row>
    <row r="74" spans="1:14" x14ac:dyDescent="0.25">
      <c r="A74" s="1" t="s">
        <v>144</v>
      </c>
      <c r="B74" t="s">
        <v>145</v>
      </c>
      <c r="C74" s="1">
        <v>2</v>
      </c>
      <c r="D74" s="1">
        <v>2</v>
      </c>
      <c r="E74" s="1">
        <v>4</v>
      </c>
      <c r="F74" s="2" t="s">
        <v>228</v>
      </c>
      <c r="G74" s="3" t="s">
        <v>230</v>
      </c>
      <c r="H74" s="1" t="s">
        <v>8</v>
      </c>
      <c r="I74" s="1" t="s">
        <v>27</v>
      </c>
      <c r="N74" t="str">
        <f t="shared" si="1"/>
        <v>INSERT INTO courses (Course_Code, Course_Desc, Sprint, Section, Credits, Start_Time, End_Time, Days_Taught, Instructor, ISBN_One_v10, ISBN_One_v13, ISBN_Two_v10, ISBN_Two_v13) VALUES ('MTM450', 'Web Game Development', 2, '2', 4, TIME(STR_TO_DATE('10:00:00 AM','%h:%i:%s %p')), TIME(STR_TO_DATE('11:50:00 AM','%h:%i:%s %p')), 'MTWHF', 'Tom Beatty', '', '', '', '');</v>
      </c>
    </row>
    <row r="75" spans="1:14" x14ac:dyDescent="0.25">
      <c r="A75" s="1" t="s">
        <v>146</v>
      </c>
      <c r="B75" t="s">
        <v>147</v>
      </c>
      <c r="C75" s="1">
        <v>2</v>
      </c>
      <c r="D75" s="1">
        <v>2</v>
      </c>
      <c r="E75" s="1">
        <v>2</v>
      </c>
      <c r="F75" s="2" t="s">
        <v>228</v>
      </c>
      <c r="G75" s="3" t="s">
        <v>230</v>
      </c>
      <c r="H75" s="1" t="s">
        <v>8</v>
      </c>
      <c r="I75" s="1" t="s">
        <v>70</v>
      </c>
      <c r="N75" t="str">
        <f t="shared" si="1"/>
        <v>INSERT INTO courses (Course_Code, Course_Desc, Sprint, Section, Credits, Start_Time, End_Time, Days_Taught, Instructor, ISBN_One_v10, ISBN_One_v13, ISBN_Two_v10, ISBN_Two_v13) VALUES ('PRO220', 'Server Administration I Project', 2, '2', 2, TIME(STR_TO_DATE('10:00:00 AM','%h:%i:%s %p')), TIME(STR_TO_DATE('11:50:00 AM','%h:%i:%s %p')), 'MTWHF', 'Kerry Cox', '', '', '', '');</v>
      </c>
    </row>
    <row r="76" spans="1:14" x14ac:dyDescent="0.25">
      <c r="A76" s="1" t="s">
        <v>138</v>
      </c>
      <c r="B76" t="s">
        <v>139</v>
      </c>
      <c r="C76" s="1">
        <v>2</v>
      </c>
      <c r="D76" s="1" t="s">
        <v>53</v>
      </c>
      <c r="E76" s="1">
        <v>2</v>
      </c>
      <c r="F76" s="2" t="s">
        <v>228</v>
      </c>
      <c r="G76" s="3" t="s">
        <v>229</v>
      </c>
      <c r="H76" s="1" t="s">
        <v>8</v>
      </c>
      <c r="I76" s="1" t="s">
        <v>32</v>
      </c>
      <c r="N76" t="str">
        <f t="shared" si="1"/>
        <v>INSERT INTO courses (Course_Code, Course_Desc, Sprint, Section, Credits, Start_Time, End_Time, Days_Taught, Instructor, ISBN_One_v10, ISBN_One_v13, ISBN_Two_v10, ISBN_Two_v13) VALUES ('PSC226', 'Introductory Physics', 2, 'B', 2, TIME(STR_TO_DATE('10:00:00 AM','%h:%i:%s %p')), TIME(STR_TO_DATE('10:50:00 AM','%h:%i:%s %p')), 'MTWHF', 'Mark Herrera', '', '', '', '');</v>
      </c>
    </row>
    <row r="77" spans="1:14" x14ac:dyDescent="0.25">
      <c r="A77" s="1" t="s">
        <v>60</v>
      </c>
      <c r="B77" t="s">
        <v>61</v>
      </c>
      <c r="C77" s="1">
        <v>2</v>
      </c>
      <c r="D77" s="1" t="s">
        <v>87</v>
      </c>
      <c r="E77" s="1">
        <v>2</v>
      </c>
      <c r="F77" s="2" t="s">
        <v>234</v>
      </c>
      <c r="G77" s="3" t="s">
        <v>235</v>
      </c>
      <c r="H77" s="1" t="s">
        <v>8</v>
      </c>
      <c r="I77" s="1" t="s">
        <v>27</v>
      </c>
      <c r="K77" t="s">
        <v>187</v>
      </c>
      <c r="L77" t="s">
        <v>188</v>
      </c>
      <c r="M77" t="s">
        <v>189</v>
      </c>
      <c r="N77" t="str">
        <f t="shared" si="1"/>
        <v>INSERT INTO courses (Course_Code, Course_Desc, Sprint, Section, Credits, Start_Time, End_Time, Days_Taught, Instructor, ISBN_One_v10, ISBN_One_v13, ISBN_Two_v10, ISBN_Two_v13) VALUES ('CSC210', 'Introduction to Web Presentation and Development', 2, 'D', 2, TIME(STR_TO_DATE('1:00:00 PM','%h:%i:%s %p')), TIME(STR_TO_DATE('1:50:00 PM','%h:%i:%s %p')), 'MTWHF', 'Tom Beatty', '', 'ISBN-13:9781118531648', 'ISBN-10:1118008189', 'ISBN-13:9781118008188');</v>
      </c>
    </row>
    <row r="78" spans="1:14" x14ac:dyDescent="0.25">
      <c r="A78" s="1" t="s">
        <v>148</v>
      </c>
      <c r="B78" t="s">
        <v>149</v>
      </c>
      <c r="C78" s="1">
        <v>2</v>
      </c>
      <c r="D78" s="1">
        <v>2</v>
      </c>
      <c r="E78" s="1">
        <v>3</v>
      </c>
      <c r="F78" s="2" t="s">
        <v>234</v>
      </c>
      <c r="G78" s="3" t="s">
        <v>236</v>
      </c>
      <c r="H78" s="1" t="s">
        <v>8</v>
      </c>
      <c r="I78" s="1" t="s">
        <v>51</v>
      </c>
      <c r="N78" t="str">
        <f t="shared" si="1"/>
        <v>INSERT INTO courses (Course_Code, Course_Desc, Sprint, Section, Credits, Start_Time, End_Time, Days_Taught, Instructor, ISBN_One_v10, ISBN_One_v13, ISBN_Two_v10, ISBN_Two_v13) VALUES ('FAC125', 'Collaborative and Interpersonal Communication', 2, '2', 3, TIME(STR_TO_DATE('1:00:00 PM','%h:%i:%s %p')), TIME(STR_TO_DATE('2:20:00 PM','%h:%i:%s %p')), 'MTWHF', 'Russ Rampton', '', '', '', '');</v>
      </c>
    </row>
    <row r="79" spans="1:14" x14ac:dyDescent="0.25">
      <c r="A79" s="1" t="s">
        <v>150</v>
      </c>
      <c r="B79" t="s">
        <v>151</v>
      </c>
      <c r="C79" s="1">
        <v>2</v>
      </c>
      <c r="D79" s="1">
        <v>2</v>
      </c>
      <c r="E79" s="1">
        <v>3</v>
      </c>
      <c r="F79" s="2" t="s">
        <v>234</v>
      </c>
      <c r="G79" s="3" t="s">
        <v>236</v>
      </c>
      <c r="H79" s="1" t="s">
        <v>8</v>
      </c>
      <c r="I79" s="1" t="s">
        <v>12</v>
      </c>
      <c r="J79" t="s">
        <v>203</v>
      </c>
      <c r="K79" t="s">
        <v>204</v>
      </c>
      <c r="N79" t="str">
        <f t="shared" si="1"/>
        <v>INSERT INTO courses (Course_Code, Course_Desc, Sprint, Section, Credits, Start_Time, End_Time, Days_Taught, Instructor, ISBN_One_v10, ISBN_One_v13, ISBN_Two_v10, ISBN_Two_v13) VALUES ('MAT125', 'Geometry', 2, '2', 3, TIME(STR_TO_DATE('1:00:00 PM','%h:%i:%s %p')), TIME(STR_TO_DATE('2:20:00 PM','%h:%i:%s %p')), 'MTWHF', 'John Kane', 'ISBN-10:0321473310', 'ISBN-13:9780321473318', '', '');</v>
      </c>
    </row>
    <row r="80" spans="1:14" x14ac:dyDescent="0.25">
      <c r="A80" s="1" t="s">
        <v>45</v>
      </c>
      <c r="B80" t="s">
        <v>46</v>
      </c>
      <c r="C80" s="1">
        <v>2</v>
      </c>
      <c r="D80" s="1" t="s">
        <v>216</v>
      </c>
      <c r="E80" s="1">
        <v>2</v>
      </c>
      <c r="F80" s="2" t="s">
        <v>241</v>
      </c>
      <c r="G80" s="3" t="s">
        <v>246</v>
      </c>
      <c r="H80" s="1" t="s">
        <v>47</v>
      </c>
      <c r="I80" s="1" t="s">
        <v>48</v>
      </c>
      <c r="K80" t="s">
        <v>198</v>
      </c>
      <c r="N80" t="str">
        <f t="shared" si="1"/>
        <v>INSERT INTO courses (Course_Code, Course_Desc, Sprint, Section, Credits, Start_Time, End_Time, Days_Taught, Instructor, ISBN_One_v10, ISBN_One_v13, ISBN_Two_v10, ISBN_Two_v13) VALUES ('ITH215', 'Networking I', 2, 'F', 2, TIME(STR_TO_DATE('3:00:00 PM','%h:%i:%s %p')), TIME(STR_TO_DATE('4:30:00 PM','%h:%i:%s %p')), 'MTW', 'Ben Fletcher', '', 'ISBN-13:9781587143854', '', '');</v>
      </c>
    </row>
    <row r="81" spans="1:14" x14ac:dyDescent="0.25">
      <c r="A81" s="1" t="s">
        <v>152</v>
      </c>
      <c r="B81" t="s">
        <v>153</v>
      </c>
      <c r="C81" s="1">
        <v>2</v>
      </c>
      <c r="D81" s="1">
        <v>2</v>
      </c>
      <c r="E81" s="1">
        <v>2</v>
      </c>
      <c r="F81" s="2" t="s">
        <v>243</v>
      </c>
      <c r="G81" s="3" t="s">
        <v>251</v>
      </c>
      <c r="H81" s="1" t="s">
        <v>8</v>
      </c>
      <c r="I81" s="1" t="s">
        <v>70</v>
      </c>
      <c r="N81" t="str">
        <f t="shared" si="1"/>
        <v>INSERT INTO courses (Course_Code, Course_Desc, Sprint, Section, Credits, Start_Time, End_Time, Days_Taught, Instructor, ISBN_One_v10, ISBN_One_v13, ISBN_Two_v10, ISBN_Two_v13) VALUES ('PRO321', 'Systems, Network &amp; Physical Security Project', 2, '2', 2, TIME(STR_TO_DATE('3:30:00 PM','%h:%i:%s %p')), TIME(STR_TO_DATE('5:20:00 PM','%h:%i:%s %p')), 'MTWHF', 'Kerry Cox', '', '', '', '');</v>
      </c>
    </row>
    <row r="82" spans="1:14" x14ac:dyDescent="0.25">
      <c r="A82" s="1" t="s">
        <v>154</v>
      </c>
      <c r="B82" t="s">
        <v>155</v>
      </c>
      <c r="C82" s="1">
        <v>2</v>
      </c>
      <c r="D82" s="1">
        <v>2</v>
      </c>
      <c r="E82" s="1">
        <v>4</v>
      </c>
      <c r="F82" s="2" t="s">
        <v>247</v>
      </c>
      <c r="G82" s="3" t="s">
        <v>249</v>
      </c>
      <c r="H82" s="1" t="s">
        <v>8</v>
      </c>
      <c r="I82" s="1" t="s">
        <v>18</v>
      </c>
      <c r="J82" t="s">
        <v>191</v>
      </c>
      <c r="K82" t="s">
        <v>192</v>
      </c>
      <c r="N82" t="str">
        <f t="shared" si="1"/>
        <v>INSERT INTO courses (Course_Code, Course_Desc, Sprint, Section, Credits, Start_Time, End_Time, Days_Taught, Instructor, ISBN_One_v10, ISBN_One_v13, ISBN_Two_v10, ISBN_Two_v13) VALUES ('CSC252', 'Algorithms &amp; Data Structures II', 2, '2', 4, TIME(STR_TO_DATE('4:00:00 PM','%h:%i:%s %p')), TIME(STR_TO_DATE('5:50:00 PM','%h:%i:%s %p')), 'MTWHF', 'Joshua Krebs', 'ISBN-10:0132316811', 'ISBN-13:9780132316811', '', '');</v>
      </c>
    </row>
    <row r="83" spans="1:14" x14ac:dyDescent="0.25">
      <c r="A83" s="1" t="s">
        <v>71</v>
      </c>
      <c r="B83" t="s">
        <v>72</v>
      </c>
      <c r="C83" s="1">
        <v>2</v>
      </c>
      <c r="D83" s="1" t="s">
        <v>53</v>
      </c>
      <c r="E83" s="1">
        <v>2</v>
      </c>
      <c r="F83" s="2" t="s">
        <v>247</v>
      </c>
      <c r="G83" s="3" t="s">
        <v>244</v>
      </c>
      <c r="H83" s="1" t="s">
        <v>8</v>
      </c>
      <c r="I83" s="1" t="s">
        <v>73</v>
      </c>
      <c r="K83" t="s">
        <v>213</v>
      </c>
      <c r="N83" t="str">
        <f t="shared" si="1"/>
        <v>INSERT INTO courses (Course_Code, Course_Desc, Sprint, Section, Credits, Start_Time, End_Time, Days_Taught, Instructor, ISBN_One_v10, ISBN_One_v13, ISBN_Two_v10, ISBN_Two_v13) VALUES ('PSC230', 'Introduction to Chemistry', 2, 'B', 2, TIME(STR_TO_DATE('4:00:00 PM','%h:%i:%s %p')), TIME(STR_TO_DATE('4:50:00 PM','%h:%i:%s %p')), 'MTWHF', 'Eric Kohler', '', 'ISBN-13:9780321729958', '', '');</v>
      </c>
    </row>
    <row r="84" spans="1:14" x14ac:dyDescent="0.25">
      <c r="A84" s="1" t="s">
        <v>156</v>
      </c>
      <c r="B84" t="s">
        <v>157</v>
      </c>
      <c r="C84" s="1">
        <v>2</v>
      </c>
      <c r="D84" s="1">
        <v>2</v>
      </c>
      <c r="E84" s="1">
        <v>3</v>
      </c>
      <c r="F84" s="2" t="s">
        <v>250</v>
      </c>
      <c r="G84" s="3" t="s">
        <v>257</v>
      </c>
      <c r="H84" s="1" t="s">
        <v>158</v>
      </c>
      <c r="I84" s="1" t="s">
        <v>159</v>
      </c>
      <c r="K84" t="s">
        <v>200</v>
      </c>
      <c r="N84" t="str">
        <f t="shared" si="1"/>
        <v>INSERT INTO courses (Course_Code, Course_Desc, Sprint, Section, Credits, Start_Time, End_Time, Days_Taught, Instructor, ISBN_One_v10, ISBN_One_v13, ISBN_Two_v10, ISBN_Two_v13) VALUES ('ITS390', 'Hacking, Forensics and Countermeasures', 2, '2', 3, TIME(STR_TO_DATE('5:30:00 PM','%h:%i:%s %p')), TIME(STR_TO_DATE('7:50:00 PM','%h:%i:%s %p')), 'THF', 'Michael Stahle', '', 'ISBN-13:9781512214567', '', '');</v>
      </c>
    </row>
    <row r="85" spans="1:14" x14ac:dyDescent="0.25">
      <c r="A85" s="1" t="s">
        <v>160</v>
      </c>
      <c r="B85" t="s">
        <v>161</v>
      </c>
      <c r="C85" s="1">
        <v>2</v>
      </c>
      <c r="D85" s="1">
        <v>2</v>
      </c>
      <c r="E85" s="1">
        <v>2</v>
      </c>
      <c r="F85" s="2" t="s">
        <v>250</v>
      </c>
      <c r="G85" s="3" t="s">
        <v>255</v>
      </c>
      <c r="H85" s="1" t="s">
        <v>8</v>
      </c>
      <c r="I85" s="1" t="s">
        <v>162</v>
      </c>
      <c r="K85" t="s">
        <v>184</v>
      </c>
      <c r="N85" t="str">
        <f t="shared" si="1"/>
        <v>INSERT INTO courses (Course_Code, Course_Desc, Sprint, Section, Credits, Start_Time, End_Time, Days_Taught, Instructor, ISBN_One_v10, ISBN_One_v13, ISBN_Two_v10, ISBN_Two_v13) VALUES ('PRO160', 'Application Development Lab', 2, '2', 2, TIME(STR_TO_DATE('5:30:00 PM','%h:%i:%s %p')), TIME(STR_TO_DATE('7:20:00 PM','%h:%i:%s %p')), 'MTWHF', 'Robert  Warner', '', 'ISBN-13:9781430242345', '', '');</v>
      </c>
    </row>
    <row r="86" spans="1:14" x14ac:dyDescent="0.25">
      <c r="A86" s="1" t="s">
        <v>163</v>
      </c>
      <c r="B86" t="s">
        <v>164</v>
      </c>
      <c r="C86" s="1">
        <v>2</v>
      </c>
      <c r="D86" s="1">
        <v>2</v>
      </c>
      <c r="E86" s="1">
        <v>2</v>
      </c>
      <c r="F86" s="2" t="s">
        <v>250</v>
      </c>
      <c r="G86" s="3" t="s">
        <v>258</v>
      </c>
      <c r="H86" s="1" t="s">
        <v>165</v>
      </c>
      <c r="I86" s="1" t="s">
        <v>166</v>
      </c>
      <c r="N86" t="str">
        <f t="shared" si="1"/>
        <v>INSERT INTO courses (Course_Code, Course_Desc, Sprint, Section, Credits, Start_Time, End_Time, Days_Taught, Instructor, ISBN_One_v10, ISBN_One_v13, ISBN_Two_v10, ISBN_Two_v13) VALUES ('PRO180', 'Open Source Platforms Development Lab', 2, '2', 2, TIME(STR_TO_DATE('5:30:00 PM','%h:%i:%s %p')), TIME(STR_TO_DATE('7:40:00 PM','%h:%i:%s %p')), 'MTWF', 'Jonathan Stringer', '', '', '', '');</v>
      </c>
    </row>
    <row r="87" spans="1:14" x14ac:dyDescent="0.25">
      <c r="A87" s="1" t="s">
        <v>130</v>
      </c>
      <c r="B87" t="s">
        <v>131</v>
      </c>
      <c r="C87" s="1">
        <v>2</v>
      </c>
      <c r="D87" s="1" t="s">
        <v>53</v>
      </c>
      <c r="E87" s="1">
        <v>2</v>
      </c>
      <c r="F87" s="2" t="s">
        <v>250</v>
      </c>
      <c r="G87" s="3" t="s">
        <v>258</v>
      </c>
      <c r="H87" s="1" t="s">
        <v>165</v>
      </c>
      <c r="N87" t="str">
        <f t="shared" si="1"/>
        <v>INSERT INTO courses (Course_Code, Course_Desc, Sprint, Section, Credits, Start_Time, End_Time, Days_Taught, Instructor, ISBN_One_v10, ISBN_One_v13, ISBN_Two_v10, ISBN_Two_v13) VALUES ('PRO280', 'Scalable Web Applications Lab', 2, 'B', 2, TIME(STR_TO_DATE('5:30:00 PM','%h:%i:%s %p')), TIME(STR_TO_DATE('7:40:00 PM','%h:%i:%s %p')), 'MTWF', '', '', '', '', '');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Winter Quarter Schedule - v 17.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Kurtis Reed</dc:creator>
  <cp:lastModifiedBy>Kurtis Reed</cp:lastModifiedBy>
  <dcterms:created xsi:type="dcterms:W3CDTF">2016-01-11T21:07:25Z</dcterms:created>
  <dcterms:modified xsi:type="dcterms:W3CDTF">2016-01-14T17:17:47Z</dcterms:modified>
</cp:coreProperties>
</file>